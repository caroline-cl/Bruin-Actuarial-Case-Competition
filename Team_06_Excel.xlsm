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nathet/Desktop/BAS Case Comp 2019/BAS Auto Assign/"/>
    </mc:Choice>
  </mc:AlternateContent>
  <xr:revisionPtr revIDLastSave="0" documentId="13_ncr:1_{40669D9E-7C4F-2344-95B7-65E6651E6C92}" xr6:coauthVersionLast="40" xr6:coauthVersionMax="40" xr10:uidLastSave="{00000000-0000-0000-0000-000000000000}"/>
  <bookViews>
    <workbookView xWindow="0" yWindow="460" windowWidth="28800" windowHeight="15840" activeTab="6" xr2:uid="{00000000-000D-0000-FFFF-FFFF00000000}"/>
  </bookViews>
  <sheets>
    <sheet name="Rating Steps" sheetId="1" r:id="rId1"/>
    <sheet name="Driver Age Factor" sheetId="8" r:id="rId2"/>
    <sheet name="Profile" sheetId="3" r:id="rId3"/>
    <sheet name="Factor Tables" sheetId="2" r:id="rId4"/>
    <sheet name="Rater1" sheetId="13" r:id="rId5"/>
    <sheet name="Rater2" sheetId="9" r:id="rId6"/>
    <sheet name="Model Output" sheetId="5" r:id="rId7"/>
    <sheet name="Sheet2" sheetId="12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2" i="9" l="1"/>
  <c r="F94" i="9" s="1"/>
  <c r="E92" i="9"/>
  <c r="E94" i="9" s="1"/>
  <c r="D92" i="9"/>
  <c r="D94" i="9" s="1"/>
  <c r="C92" i="9"/>
  <c r="C94" i="9" s="1"/>
  <c r="K70" i="9"/>
  <c r="K72" i="9" s="1"/>
  <c r="J70" i="9"/>
  <c r="J72" i="9" s="1"/>
  <c r="I70" i="9"/>
  <c r="I72" i="9" s="1"/>
  <c r="H70" i="9"/>
  <c r="H72" i="9" s="1"/>
  <c r="F70" i="9"/>
  <c r="F72" i="9" s="1"/>
  <c r="E70" i="9"/>
  <c r="E72" i="9" s="1"/>
  <c r="D70" i="9"/>
  <c r="D72" i="9" s="1"/>
  <c r="C70" i="9"/>
  <c r="C72" i="9" s="1"/>
  <c r="C73" i="9" l="1"/>
  <c r="C95" i="9"/>
  <c r="J16" i="13"/>
  <c r="K16" i="13"/>
  <c r="L16" i="13"/>
  <c r="M16" i="13"/>
  <c r="N16" i="13"/>
  <c r="O16" i="13"/>
  <c r="P16" i="13"/>
  <c r="Q16" i="13"/>
  <c r="J17" i="13"/>
  <c r="J25" i="13" s="1"/>
  <c r="K17" i="13"/>
  <c r="L17" i="13"/>
  <c r="L25" i="13" s="1"/>
  <c r="M17" i="13"/>
  <c r="M25" i="13"/>
  <c r="Q25" i="13"/>
  <c r="U25" i="13"/>
  <c r="J43" i="13"/>
  <c r="K43" i="13"/>
  <c r="L43" i="13"/>
  <c r="M43" i="13"/>
  <c r="N43" i="13"/>
  <c r="O43" i="13"/>
  <c r="P43" i="13"/>
  <c r="Q43" i="13"/>
  <c r="J44" i="13"/>
  <c r="K44" i="13"/>
  <c r="L44" i="13"/>
  <c r="M44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J71" i="13"/>
  <c r="K71" i="13"/>
  <c r="L71" i="13"/>
  <c r="M71" i="13"/>
  <c r="N71" i="13"/>
  <c r="O71" i="13"/>
  <c r="P71" i="13"/>
  <c r="Q71" i="13"/>
  <c r="J72" i="13"/>
  <c r="K72" i="13"/>
  <c r="S80" i="13" s="1"/>
  <c r="L72" i="13"/>
  <c r="P80" i="13" s="1"/>
  <c r="M72" i="13"/>
  <c r="J80" i="13"/>
  <c r="K80" i="13"/>
  <c r="L80" i="13"/>
  <c r="M80" i="13"/>
  <c r="Q80" i="13"/>
  <c r="R80" i="13"/>
  <c r="U80" i="13"/>
  <c r="K6" i="13"/>
  <c r="M13" i="13"/>
  <c r="X25" i="13"/>
  <c r="K40" i="13"/>
  <c r="W52" i="13"/>
  <c r="J68" i="13"/>
  <c r="X80" i="13"/>
  <c r="L20" i="13"/>
  <c r="Y25" i="13"/>
  <c r="L40" i="13"/>
  <c r="X52" i="13"/>
  <c r="K68" i="13"/>
  <c r="J13" i="13"/>
  <c r="K13" i="13"/>
  <c r="V25" i="13"/>
  <c r="M40" i="13"/>
  <c r="Y52" i="13"/>
  <c r="L68" i="13"/>
  <c r="V80" i="13"/>
  <c r="L13" i="13"/>
  <c r="W25" i="13"/>
  <c r="J40" i="13"/>
  <c r="V52" i="13"/>
  <c r="M68" i="13"/>
  <c r="W80" i="13"/>
  <c r="Y80" i="13"/>
  <c r="K25" i="13" l="1"/>
  <c r="O25" i="13"/>
  <c r="S25" i="13"/>
  <c r="J55" i="13"/>
  <c r="R25" i="13"/>
  <c r="N25" i="13"/>
  <c r="T80" i="13"/>
  <c r="J83" i="13" s="1"/>
  <c r="T25" i="13"/>
  <c r="P25" i="13"/>
  <c r="J28" i="13" l="1"/>
  <c r="U30" i="12" l="1"/>
  <c r="T30" i="12"/>
  <c r="U29" i="12"/>
  <c r="T29" i="12"/>
  <c r="U28" i="12"/>
  <c r="T28" i="12"/>
  <c r="U27" i="12"/>
  <c r="T27" i="12"/>
  <c r="U26" i="12"/>
  <c r="T26" i="12"/>
  <c r="Q26" i="12"/>
  <c r="Q34" i="12"/>
  <c r="Q50" i="12"/>
  <c r="P50" i="12"/>
  <c r="Q42" i="12"/>
  <c r="P42" i="12"/>
  <c r="P34" i="12"/>
  <c r="P26" i="12"/>
  <c r="J7" i="9"/>
  <c r="V24" i="9" l="1"/>
  <c r="R24" i="9"/>
  <c r="N24" i="9"/>
  <c r="J24" i="9"/>
  <c r="K25" i="9"/>
  <c r="N25" i="9"/>
  <c r="Y25" i="9"/>
  <c r="Q20" i="9"/>
  <c r="X23" i="9"/>
  <c r="W21" i="9"/>
  <c r="R23" i="9"/>
  <c r="R22" i="9"/>
  <c r="R21" i="9"/>
  <c r="O23" i="9"/>
  <c r="P21" i="9"/>
  <c r="T14" i="9"/>
  <c r="Y22" i="9"/>
  <c r="U22" i="9"/>
  <c r="P22" i="9"/>
  <c r="X15" i="9"/>
  <c r="X14" i="9"/>
  <c r="Y13" i="9"/>
  <c r="T15" i="9"/>
  <c r="T13" i="9"/>
  <c r="Q15" i="9"/>
  <c r="P13" i="9"/>
  <c r="P15" i="9"/>
  <c r="K23" i="9"/>
  <c r="L22" i="9"/>
  <c r="K21" i="9"/>
  <c r="M15" i="9"/>
  <c r="M14" i="9"/>
  <c r="M13" i="9"/>
  <c r="M8" i="9"/>
  <c r="M7" i="9"/>
  <c r="N21" i="2"/>
  <c r="N37" i="2"/>
  <c r="N53" i="2"/>
  <c r="N69" i="2"/>
  <c r="N34" i="2"/>
  <c r="N50" i="2"/>
  <c r="N66" i="2"/>
  <c r="N23" i="2"/>
  <c r="N39" i="2"/>
  <c r="N55" i="2"/>
  <c r="N71" i="2"/>
  <c r="N36" i="2"/>
  <c r="N52" i="2"/>
  <c r="N68" i="2"/>
  <c r="M25" i="2"/>
  <c r="M41" i="2"/>
  <c r="M57" i="2"/>
  <c r="M73" i="2"/>
  <c r="M63" i="2"/>
  <c r="M22" i="2"/>
  <c r="M38" i="2"/>
  <c r="M54" i="2"/>
  <c r="M70" i="2"/>
  <c r="M59" i="2"/>
  <c r="M23" i="2"/>
  <c r="M67" i="2"/>
  <c r="M28" i="2"/>
  <c r="M68" i="2"/>
  <c r="L29" i="2"/>
  <c r="L45" i="2"/>
  <c r="L61" i="2"/>
  <c r="L23" i="2"/>
  <c r="L55" i="2"/>
  <c r="L36" i="2"/>
  <c r="L52" i="2"/>
  <c r="L68" i="2"/>
  <c r="L30" i="2"/>
  <c r="L46" i="2"/>
  <c r="L62" i="2"/>
  <c r="L27" i="2"/>
  <c r="L59" i="2"/>
  <c r="L20" i="2"/>
  <c r="K33" i="2"/>
  <c r="K49" i="2"/>
  <c r="K65" i="2"/>
  <c r="K70" i="2"/>
  <c r="K47" i="2"/>
  <c r="K32" i="2"/>
  <c r="K60" i="2"/>
  <c r="K30" i="2"/>
  <c r="K46" i="2"/>
  <c r="K66" i="2"/>
  <c r="K51" i="2"/>
  <c r="K28" i="2"/>
  <c r="K64" i="2"/>
  <c r="S25" i="9"/>
  <c r="L21" i="9"/>
  <c r="J6" i="9"/>
  <c r="N30" i="2"/>
  <c r="N35" i="2"/>
  <c r="N32" i="2"/>
  <c r="M37" i="2"/>
  <c r="M51" i="2"/>
  <c r="M66" i="2"/>
  <c r="M55" i="2"/>
  <c r="L25" i="2"/>
  <c r="P25" i="9"/>
  <c r="M25" i="9"/>
  <c r="U25" i="9"/>
  <c r="P20" i="9"/>
  <c r="Y23" i="9"/>
  <c r="V21" i="9"/>
  <c r="S23" i="9"/>
  <c r="U21" i="9"/>
  <c r="U20" i="9"/>
  <c r="P23" i="9"/>
  <c r="O21" i="9"/>
  <c r="S14" i="9"/>
  <c r="X22" i="9"/>
  <c r="T22" i="9"/>
  <c r="O22" i="9"/>
  <c r="W15" i="9"/>
  <c r="W14" i="9"/>
  <c r="X13" i="9"/>
  <c r="S15" i="9"/>
  <c r="S13" i="9"/>
  <c r="Q14" i="9"/>
  <c r="O15" i="9"/>
  <c r="O13" i="9"/>
  <c r="L23" i="9"/>
  <c r="K22" i="9"/>
  <c r="J21" i="9"/>
  <c r="L15" i="9"/>
  <c r="L14" i="9"/>
  <c r="L13" i="9"/>
  <c r="L8" i="9"/>
  <c r="L7" i="9"/>
  <c r="N25" i="2"/>
  <c r="N41" i="2"/>
  <c r="N57" i="2"/>
  <c r="N73" i="2"/>
  <c r="N38" i="2"/>
  <c r="N54" i="2"/>
  <c r="N70" i="2"/>
  <c r="N27" i="2"/>
  <c r="N43" i="2"/>
  <c r="N59" i="2"/>
  <c r="N24" i="2"/>
  <c r="N40" i="2"/>
  <c r="N56" i="2"/>
  <c r="N72" i="2"/>
  <c r="M29" i="2"/>
  <c r="M45" i="2"/>
  <c r="M61" i="2"/>
  <c r="M31" i="2"/>
  <c r="M44" i="2"/>
  <c r="M26" i="2"/>
  <c r="M42" i="2"/>
  <c r="M58" i="2"/>
  <c r="M74" i="2"/>
  <c r="M71" i="2"/>
  <c r="M35" i="2"/>
  <c r="M40" i="2"/>
  <c r="M32" i="2"/>
  <c r="M20" i="2"/>
  <c r="L33" i="2"/>
  <c r="L49" i="2"/>
  <c r="L65" i="2"/>
  <c r="L31" i="2"/>
  <c r="L63" i="2"/>
  <c r="L40" i="2"/>
  <c r="L56" i="2"/>
  <c r="L72" i="2"/>
  <c r="L34" i="2"/>
  <c r="L50" i="2"/>
  <c r="L66" i="2"/>
  <c r="L35" i="2"/>
  <c r="L67" i="2"/>
  <c r="K21" i="2"/>
  <c r="K37" i="2"/>
  <c r="K53" i="2"/>
  <c r="K69" i="2"/>
  <c r="K74" i="2"/>
  <c r="K55" i="2"/>
  <c r="K40" i="2"/>
  <c r="K68" i="2"/>
  <c r="K34" i="2"/>
  <c r="K50" i="2"/>
  <c r="K27" i="2"/>
  <c r="K59" i="2"/>
  <c r="K36" i="2"/>
  <c r="K72" i="2"/>
  <c r="T25" i="9"/>
  <c r="M22" i="9"/>
  <c r="N49" i="2"/>
  <c r="N46" i="2"/>
  <c r="N22" i="2"/>
  <c r="N67" i="2"/>
  <c r="N64" i="2"/>
  <c r="M69" i="2"/>
  <c r="M50" i="2"/>
  <c r="M64" i="2"/>
  <c r="M52" i="2"/>
  <c r="Q25" i="9"/>
  <c r="L25" i="9"/>
  <c r="X25" i="9"/>
  <c r="V23" i="9"/>
  <c r="Y21" i="9"/>
  <c r="Y20" i="9"/>
  <c r="T23" i="9"/>
  <c r="T21" i="9"/>
  <c r="T20" i="9"/>
  <c r="Q23" i="9"/>
  <c r="N21" i="9"/>
  <c r="R14" i="9"/>
  <c r="W22" i="9"/>
  <c r="S22" i="9"/>
  <c r="N22" i="9"/>
  <c r="V15" i="9"/>
  <c r="V14" i="9"/>
  <c r="V13" i="9"/>
  <c r="R15" i="9"/>
  <c r="R13" i="9"/>
  <c r="Q13" i="9"/>
  <c r="O14" i="9"/>
  <c r="N14" i="9"/>
  <c r="M23" i="9"/>
  <c r="J22" i="9"/>
  <c r="M20" i="9"/>
  <c r="K15" i="9"/>
  <c r="K14" i="9"/>
  <c r="K13" i="9"/>
  <c r="K8" i="9"/>
  <c r="K6" i="9"/>
  <c r="N29" i="2"/>
  <c r="N45" i="2"/>
  <c r="N61" i="2"/>
  <c r="N26" i="2"/>
  <c r="N42" i="2"/>
  <c r="N58" i="2"/>
  <c r="N74" i="2"/>
  <c r="N31" i="2"/>
  <c r="N47" i="2"/>
  <c r="N63" i="2"/>
  <c r="N28" i="2"/>
  <c r="N44" i="2"/>
  <c r="N60" i="2"/>
  <c r="N20" i="2"/>
  <c r="M33" i="2"/>
  <c r="M49" i="2"/>
  <c r="M65" i="2"/>
  <c r="M39" i="2"/>
  <c r="M60" i="2"/>
  <c r="M30" i="2"/>
  <c r="M46" i="2"/>
  <c r="M62" i="2"/>
  <c r="M27" i="2"/>
  <c r="M48" i="2"/>
  <c r="M43" i="2"/>
  <c r="M56" i="2"/>
  <c r="M36" i="2"/>
  <c r="L21" i="2"/>
  <c r="L37" i="2"/>
  <c r="L53" i="2"/>
  <c r="L69" i="2"/>
  <c r="L39" i="2"/>
  <c r="L71" i="2"/>
  <c r="L44" i="2"/>
  <c r="L60" i="2"/>
  <c r="L22" i="2"/>
  <c r="L38" i="2"/>
  <c r="L54" i="2"/>
  <c r="L70" i="2"/>
  <c r="L43" i="2"/>
  <c r="L24" i="2"/>
  <c r="K25" i="2"/>
  <c r="K41" i="2"/>
  <c r="K57" i="2"/>
  <c r="K73" i="2"/>
  <c r="K31" i="2"/>
  <c r="K67" i="2"/>
  <c r="K48" i="2"/>
  <c r="K22" i="2"/>
  <c r="K38" i="2"/>
  <c r="K54" i="2"/>
  <c r="K35" i="2"/>
  <c r="K63" i="2"/>
  <c r="K44" i="2"/>
  <c r="K23" i="2"/>
  <c r="J25" i="9"/>
  <c r="W25" i="9"/>
  <c r="O25" i="9"/>
  <c r="R25" i="9"/>
  <c r="V25" i="9"/>
  <c r="W23" i="9"/>
  <c r="X21" i="9"/>
  <c r="X20" i="9"/>
  <c r="U23" i="9"/>
  <c r="S21" i="9"/>
  <c r="N23" i="9"/>
  <c r="Q21" i="9"/>
  <c r="U14" i="9"/>
  <c r="M21" i="9"/>
  <c r="V22" i="9"/>
  <c r="Q22" i="9"/>
  <c r="Y15" i="9"/>
  <c r="Y14" i="9"/>
  <c r="W13" i="9"/>
  <c r="U15" i="9"/>
  <c r="U13" i="9"/>
  <c r="N13" i="9"/>
  <c r="P14" i="9"/>
  <c r="N15" i="9"/>
  <c r="J23" i="9"/>
  <c r="L20" i="9"/>
  <c r="J15" i="9"/>
  <c r="J14" i="9"/>
  <c r="J13" i="9"/>
  <c r="J8" i="9"/>
  <c r="N33" i="2"/>
  <c r="N65" i="2"/>
  <c r="N62" i="2"/>
  <c r="N51" i="2"/>
  <c r="N48" i="2"/>
  <c r="M21" i="2"/>
  <c r="M53" i="2"/>
  <c r="M72" i="2"/>
  <c r="M34" i="2"/>
  <c r="M47" i="2"/>
  <c r="M24" i="2"/>
  <c r="L41" i="2"/>
  <c r="L28" i="2"/>
  <c r="L42" i="2"/>
  <c r="L32" i="2"/>
  <c r="K62" i="2"/>
  <c r="K26" i="2"/>
  <c r="K71" i="2"/>
  <c r="L48" i="2"/>
  <c r="K29" i="2"/>
  <c r="K42" i="2"/>
  <c r="L73" i="2"/>
  <c r="L74" i="2"/>
  <c r="K24" i="2"/>
  <c r="L47" i="2"/>
  <c r="L51" i="2"/>
  <c r="K56" i="2"/>
  <c r="L57" i="2"/>
  <c r="L58" i="2"/>
  <c r="K39" i="2"/>
  <c r="K52" i="2"/>
  <c r="L64" i="2"/>
  <c r="K45" i="2"/>
  <c r="K20" i="2"/>
  <c r="L26" i="2"/>
  <c r="K61" i="2"/>
  <c r="K43" i="2"/>
  <c r="K58" i="2"/>
  <c r="K7" i="9"/>
  <c r="J28" i="9" l="1"/>
  <c r="C15" i="8"/>
  <c r="C69" i="8" l="1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D26" i="5" l="1"/>
</calcChain>
</file>

<file path=xl/sharedStrings.xml><?xml version="1.0" encoding="utf-8"?>
<sst xmlns="http://schemas.openxmlformats.org/spreadsheetml/2006/main" count="726" uniqueCount="155">
  <si>
    <t>BI</t>
  </si>
  <si>
    <t>PD</t>
  </si>
  <si>
    <t>COMP</t>
  </si>
  <si>
    <t>COLL</t>
  </si>
  <si>
    <t>Base Rate</t>
  </si>
  <si>
    <t>25/50</t>
  </si>
  <si>
    <t>50/100</t>
  </si>
  <si>
    <t>100/300</t>
  </si>
  <si>
    <t>1000/1000</t>
  </si>
  <si>
    <t>500/500</t>
  </si>
  <si>
    <t>Relativity</t>
  </si>
  <si>
    <t>Limit (000)</t>
  </si>
  <si>
    <t>BI (per person/per incident)</t>
  </si>
  <si>
    <t>Number of Vehicles</t>
  </si>
  <si>
    <t>Number of Drivers</t>
  </si>
  <si>
    <t>3+</t>
  </si>
  <si>
    <t>Years of Driving Experience</t>
  </si>
  <si>
    <t>Driver Point</t>
  </si>
  <si>
    <t>$</t>
  </si>
  <si>
    <t>Increased Limits Factor</t>
  </si>
  <si>
    <t>x</t>
  </si>
  <si>
    <t>Household Composition</t>
  </si>
  <si>
    <t>Driver Level</t>
  </si>
  <si>
    <t>Policy Level</t>
  </si>
  <si>
    <t>Vehicle Level</t>
  </si>
  <si>
    <t>Deductible</t>
  </si>
  <si>
    <t>Model Year</t>
  </si>
  <si>
    <t>Vehicle Symbol</t>
  </si>
  <si>
    <t>Coverage Total</t>
  </si>
  <si>
    <t>R</t>
  </si>
  <si>
    <t>N</t>
  </si>
  <si>
    <t>1990 and prior</t>
  </si>
  <si>
    <t>1991-2000</t>
  </si>
  <si>
    <t>2001-2005</t>
  </si>
  <si>
    <t>2006-2010</t>
  </si>
  <si>
    <t>2011-2015</t>
  </si>
  <si>
    <t>A</t>
  </si>
  <si>
    <t>B</t>
  </si>
  <si>
    <t>C</t>
  </si>
  <si>
    <t>D</t>
  </si>
  <si>
    <t>E</t>
  </si>
  <si>
    <t>F</t>
  </si>
  <si>
    <t>G</t>
  </si>
  <si>
    <t>BI Limit</t>
  </si>
  <si>
    <t>PD Limit</t>
  </si>
  <si>
    <t>COMP Deductible</t>
  </si>
  <si>
    <t>COLL Deductible</t>
  </si>
  <si>
    <t>Notes:</t>
  </si>
  <si>
    <t>Rating Steps</t>
  </si>
  <si>
    <t>Profile #1</t>
  </si>
  <si>
    <t>Driver 1</t>
  </si>
  <si>
    <t>Driver 2</t>
  </si>
  <si>
    <t>Vehicle 1</t>
  </si>
  <si>
    <t>Vehicle 2</t>
  </si>
  <si>
    <t>Profile #2</t>
  </si>
  <si>
    <t>Primary Driver</t>
  </si>
  <si>
    <t>Driver Age</t>
  </si>
  <si>
    <t>Vehicle 3</t>
  </si>
  <si>
    <t>Driver 3</t>
  </si>
  <si>
    <t>Variable</t>
  </si>
  <si>
    <t>Earned Exposure%</t>
  </si>
  <si>
    <t>Indicated Factor</t>
  </si>
  <si>
    <t>Lower Bound of 95% Confidence Interval</t>
  </si>
  <si>
    <t>Upper Bound of 95% Confidence Interval</t>
  </si>
  <si>
    <t>Yes</t>
  </si>
  <si>
    <t>No</t>
  </si>
  <si>
    <t>Persistency with Company</t>
  </si>
  <si>
    <t>Multipolicy (Homeowners Policyholder)</t>
  </si>
  <si>
    <t>Good Student</t>
  </si>
  <si>
    <t>Pleasure</t>
  </si>
  <si>
    <t>Business</t>
  </si>
  <si>
    <t>Others</t>
  </si>
  <si>
    <t>Vehicle Use*</t>
  </si>
  <si>
    <t>* Vehicle use is reported by insureds when they purchase the policy.</t>
  </si>
  <si>
    <t>2016 and after</t>
  </si>
  <si>
    <t>Commute</t>
  </si>
  <si>
    <t>Method 1 - Driver Averaging</t>
  </si>
  <si>
    <t>Method 2 - Driver Assignment</t>
  </si>
  <si>
    <t>for each additional point, increase factor by</t>
  </si>
  <si>
    <t>Advanced Shopping Discount</t>
  </si>
  <si>
    <t>&gt; 30 days</t>
  </si>
  <si>
    <t>15-30 days</t>
  </si>
  <si>
    <t>7-15 days</t>
  </si>
  <si>
    <t>Quoting date in advance of policy inception date</t>
  </si>
  <si>
    <t>New Car Discount</t>
  </si>
  <si>
    <t>Notes</t>
  </si>
  <si>
    <t>Original Policy Effective Date</t>
  </si>
  <si>
    <t>Term Policy Effective Date</t>
  </si>
  <si>
    <t>Policy Quoting Date</t>
  </si>
  <si>
    <t>Age of Vehicle</t>
  </si>
  <si>
    <t>2+</t>
  </si>
  <si>
    <t>Profile #3</t>
  </si>
  <si>
    <t xml:space="preserve">Age of vehicle = current calendar year - model year. Set age to 0 if the vehicle has a future model year. </t>
  </si>
  <si>
    <t>Applies to new business only.</t>
  </si>
  <si>
    <t>Fixed Policy Expense</t>
  </si>
  <si>
    <t>New Business</t>
  </si>
  <si>
    <t>Renewal Business</t>
  </si>
  <si>
    <t>+</t>
  </si>
  <si>
    <t>The fee will be added on after the total policy premium is calculated.</t>
  </si>
  <si>
    <t>Linear term</t>
  </si>
  <si>
    <t>Quadratic term</t>
  </si>
  <si>
    <t>Cubic term</t>
  </si>
  <si>
    <t>b1</t>
  </si>
  <si>
    <t>b2</t>
  </si>
  <si>
    <t>b3</t>
  </si>
  <si>
    <t>Parameter</t>
  </si>
  <si>
    <t>Value</t>
  </si>
  <si>
    <t>Driver Age variable is included in the model as a polynomial term, with beta parameters:</t>
  </si>
  <si>
    <t>70+</t>
  </si>
  <si>
    <r>
      <t>Driver Age factor is derived from a prior version of Generalized Linear Model (GLM) with a</t>
    </r>
    <r>
      <rPr>
        <b/>
        <i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log link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function.</t>
    </r>
  </si>
  <si>
    <t>Note the factor will be the same across all coverages, rounded to 3 decimal points, and capped at age 70.</t>
  </si>
  <si>
    <t>Factor</t>
  </si>
  <si>
    <t>Calculate the driver age factor relativities using age 40 as the base level (with factor 1.000)</t>
  </si>
  <si>
    <t>(Applies to new business only)</t>
  </si>
  <si>
    <t>Number of  Drivers</t>
  </si>
  <si>
    <t>Driver 4</t>
  </si>
  <si>
    <t>Driver's Exp</t>
  </si>
  <si>
    <t>b0</t>
  </si>
  <si>
    <t>Vehicle 4</t>
  </si>
  <si>
    <t>Multiplicative factors</t>
  </si>
  <si>
    <t>Round to the nearest whole dollar</t>
  </si>
  <si>
    <t>Total Premium for Policy</t>
  </si>
  <si>
    <t>500</t>
  </si>
  <si>
    <t>Profile 1</t>
  </si>
  <si>
    <t>V1D1</t>
  </si>
  <si>
    <t>V2D2</t>
  </si>
  <si>
    <t>V3D1</t>
  </si>
  <si>
    <t>Profile 2</t>
  </si>
  <si>
    <t>V2D3</t>
  </si>
  <si>
    <t>Profile 3</t>
  </si>
  <si>
    <t>Total</t>
  </si>
  <si>
    <t>Sum</t>
  </si>
  <si>
    <t>Assignment</t>
  </si>
  <si>
    <t>Avg</t>
  </si>
  <si>
    <t>BI Avg</t>
  </si>
  <si>
    <t>PD Avg</t>
  </si>
  <si>
    <t>BI Assign.</t>
  </si>
  <si>
    <t>PD Assign.</t>
  </si>
  <si>
    <t xml:space="preserve">COMP Assign. </t>
  </si>
  <si>
    <t>COMP Avg</t>
  </si>
  <si>
    <t>COLL Assign.</t>
  </si>
  <si>
    <t>COLL Avg</t>
  </si>
  <si>
    <t>Vehicle 5</t>
  </si>
  <si>
    <t>Vehicle 6</t>
  </si>
  <si>
    <t>Driver Assignment</t>
  </si>
  <si>
    <t>Driver Averaging</t>
  </si>
  <si>
    <t>Vehivle 1</t>
  </si>
  <si>
    <t>Vehivle 2</t>
  </si>
  <si>
    <t>Vehivle 3</t>
  </si>
  <si>
    <t xml:space="preserve"> </t>
  </si>
  <si>
    <t>Driver avg Level</t>
    <phoneticPr fontId="12" type="noConversion"/>
  </si>
  <si>
    <t>Profile3</t>
    <phoneticPr fontId="12" type="noConversion"/>
  </si>
  <si>
    <t>Profile 2</t>
    <phoneticPr fontId="12" type="noConversion"/>
  </si>
  <si>
    <t>Profile 1</t>
    <phoneticPr fontId="12" type="noConversion"/>
  </si>
  <si>
    <t>Sample Outputs for profiles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</si>
</sst>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00"/>
    <numFmt numFmtId="165" formatCode="0.0%"/>
    <numFmt numFmtId="166" formatCode="0.0000000"/>
    <numFmt numFmtId="167" formatCode="_([$$-409]* #,##0.00_);_([$$-409]* \(#,##0.00\);_([$$-409]* &quot;-&quot;??_);_(@_)"/>
    <numFmt numFmtId="168" formatCode="_([$$-409]* #,##0_);_([$$-409]* \(#,##0\);_([$$-409]* &quot;-&quot;??_);_(@_)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187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Fill="1"/>
    <xf numFmtId="165" fontId="0" fillId="0" borderId="0" xfId="0" applyNumberFormat="1"/>
    <xf numFmtId="9" fontId="0" fillId="0" borderId="0" xfId="0" applyNumberFormat="1"/>
    <xf numFmtId="0" fontId="0" fillId="0" borderId="0" xfId="0" applyFill="1" applyAlignment="1">
      <alignment horizontal="right"/>
    </xf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/>
    </xf>
    <xf numFmtId="1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ill="1" applyBorder="1"/>
    <xf numFmtId="14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1" xfId="0" applyFont="1" applyFill="1" applyBorder="1"/>
    <xf numFmtId="0" fontId="0" fillId="0" borderId="4" xfId="0" applyFill="1" applyBorder="1"/>
    <xf numFmtId="0" fontId="6" fillId="0" borderId="0" xfId="0" applyFont="1"/>
    <xf numFmtId="164" fontId="6" fillId="0" borderId="0" xfId="0" applyNumberFormat="1" applyFont="1"/>
    <xf numFmtId="1" fontId="7" fillId="0" borderId="0" xfId="0" applyNumberFormat="1" applyFont="1"/>
    <xf numFmtId="1" fontId="7" fillId="0" borderId="0" xfId="0" applyNumberFormat="1" applyFont="1" applyFill="1" applyBorder="1"/>
    <xf numFmtId="0" fontId="1" fillId="0" borderId="0" xfId="0" applyFont="1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6" xfId="0" applyFill="1" applyBorder="1" applyAlignment="1">
      <alignment horizontal="center"/>
    </xf>
    <xf numFmtId="164" fontId="0" fillId="0" borderId="0" xfId="0" applyNumberFormat="1" applyFill="1"/>
    <xf numFmtId="0" fontId="0" fillId="0" borderId="6" xfId="0" applyFill="1" applyBorder="1"/>
    <xf numFmtId="0" fontId="3" fillId="0" borderId="0" xfId="0" applyNumberFormat="1" applyFont="1" applyFill="1"/>
    <xf numFmtId="164" fontId="0" fillId="0" borderId="0" xfId="0" applyNumberFormat="1" applyFill="1" applyBorder="1"/>
    <xf numFmtId="164" fontId="0" fillId="0" borderId="5" xfId="0" applyNumberFormat="1" applyFill="1" applyBorder="1"/>
    <xf numFmtId="0" fontId="0" fillId="0" borderId="6" xfId="0" applyFill="1" applyBorder="1" applyAlignment="1">
      <alignment horizontal="right"/>
    </xf>
    <xf numFmtId="164" fontId="0" fillId="0" borderId="7" xfId="0" applyNumberFormat="1" applyFill="1" applyBorder="1"/>
    <xf numFmtId="164" fontId="0" fillId="0" borderId="8" xfId="0" applyNumberFormat="1" applyFill="1" applyBorder="1"/>
    <xf numFmtId="0" fontId="0" fillId="0" borderId="4" xfId="0" applyFill="1" applyBorder="1" applyAlignment="1">
      <alignment horizontal="left"/>
    </xf>
    <xf numFmtId="0" fontId="3" fillId="0" borderId="0" xfId="0" applyFont="1" applyFill="1"/>
    <xf numFmtId="0" fontId="0" fillId="0" borderId="6" xfId="0" applyFill="1" applyBorder="1" applyAlignment="1">
      <alignment horizontal="left"/>
    </xf>
    <xf numFmtId="0" fontId="0" fillId="0" borderId="4" xfId="0" applyFill="1" applyBorder="1" applyAlignment="1">
      <alignment horizontal="right"/>
    </xf>
    <xf numFmtId="164" fontId="0" fillId="0" borderId="0" xfId="0" applyNumberFormat="1" applyFill="1" applyBorder="1" applyAlignment="1">
      <alignment vertical="center"/>
    </xf>
    <xf numFmtId="164" fontId="0" fillId="0" borderId="5" xfId="0" applyNumberFormat="1" applyFill="1" applyBorder="1" applyAlignment="1">
      <alignment vertical="center"/>
    </xf>
    <xf numFmtId="164" fontId="0" fillId="0" borderId="7" xfId="0" applyNumberFormat="1" applyFill="1" applyBorder="1" applyAlignment="1">
      <alignment vertical="center"/>
    </xf>
    <xf numFmtId="164" fontId="0" fillId="0" borderId="8" xfId="0" applyNumberFormat="1" applyFill="1" applyBorder="1" applyAlignment="1">
      <alignment vertical="center"/>
    </xf>
    <xf numFmtId="0" fontId="0" fillId="0" borderId="0" xfId="0" applyFill="1" applyBorder="1" applyAlignment="1">
      <alignment horizontal="right"/>
    </xf>
    <xf numFmtId="1" fontId="7" fillId="0" borderId="0" xfId="0" applyNumberFormat="1" applyFont="1" applyFill="1"/>
    <xf numFmtId="164" fontId="6" fillId="0" borderId="0" xfId="0" applyNumberFormat="1" applyFont="1" applyFill="1" applyBorder="1"/>
    <xf numFmtId="164" fontId="6" fillId="0" borderId="5" xfId="0" applyNumberFormat="1" applyFont="1" applyFill="1" applyBorder="1"/>
    <xf numFmtId="0" fontId="0" fillId="0" borderId="7" xfId="0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7" fillId="0" borderId="0" xfId="0" applyFont="1" applyFill="1"/>
    <xf numFmtId="6" fontId="0" fillId="0" borderId="5" xfId="0" applyNumberFormat="1" applyFill="1" applyBorder="1"/>
    <xf numFmtId="6" fontId="0" fillId="0" borderId="8" xfId="0" applyNumberFormat="1" applyFill="1" applyBorder="1"/>
    <xf numFmtId="164" fontId="6" fillId="0" borderId="7" xfId="0" applyNumberFormat="1" applyFont="1" applyFill="1" applyBorder="1"/>
    <xf numFmtId="164" fontId="6" fillId="0" borderId="8" xfId="0" applyNumberFormat="1" applyFont="1" applyFill="1" applyBorder="1"/>
    <xf numFmtId="0" fontId="8" fillId="0" borderId="1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6" xfId="0" applyFont="1" applyBorder="1" applyAlignment="1">
      <alignment horizontal="right"/>
    </xf>
    <xf numFmtId="164" fontId="6" fillId="0" borderId="5" xfId="0" applyNumberFormat="1" applyFont="1" applyBorder="1"/>
    <xf numFmtId="164" fontId="6" fillId="0" borderId="8" xfId="0" applyNumberFormat="1" applyFont="1" applyBorder="1"/>
    <xf numFmtId="0" fontId="0" fillId="0" borderId="0" xfId="0" applyBorder="1"/>
    <xf numFmtId="0" fontId="0" fillId="0" borderId="0" xfId="0" applyFont="1" applyFill="1" applyBorder="1"/>
    <xf numFmtId="0" fontId="1" fillId="0" borderId="0" xfId="0" applyFont="1" applyBorder="1"/>
    <xf numFmtId="0" fontId="9" fillId="2" borderId="27" xfId="0" applyFont="1" applyFill="1" applyBorder="1"/>
    <xf numFmtId="0" fontId="10" fillId="2" borderId="25" xfId="0" applyFont="1" applyFill="1" applyBorder="1"/>
    <xf numFmtId="0" fontId="10" fillId="2" borderId="26" xfId="0" applyFont="1" applyFill="1" applyBorder="1"/>
    <xf numFmtId="0" fontId="11" fillId="2" borderId="20" xfId="0" applyFont="1" applyFill="1" applyBorder="1"/>
    <xf numFmtId="0" fontId="10" fillId="2" borderId="0" xfId="0" applyFont="1" applyFill="1" applyBorder="1"/>
    <xf numFmtId="0" fontId="10" fillId="2" borderId="15" xfId="0" applyFont="1" applyFill="1" applyBorder="1"/>
    <xf numFmtId="0" fontId="11" fillId="2" borderId="9" xfId="0" applyFont="1" applyFill="1" applyBorder="1"/>
    <xf numFmtId="0" fontId="10" fillId="3" borderId="0" xfId="0" applyFont="1" applyFill="1" applyBorder="1"/>
    <xf numFmtId="0" fontId="10" fillId="3" borderId="12" xfId="0" applyFont="1" applyFill="1" applyBorder="1"/>
    <xf numFmtId="0" fontId="11" fillId="2" borderId="21" xfId="0" applyFont="1" applyFill="1" applyBorder="1"/>
    <xf numFmtId="0" fontId="10" fillId="3" borderId="23" xfId="0" applyFont="1" applyFill="1" applyBorder="1"/>
    <xf numFmtId="0" fontId="10" fillId="2" borderId="16" xfId="0" applyFont="1" applyFill="1" applyBorder="1"/>
    <xf numFmtId="0" fontId="10" fillId="2" borderId="17" xfId="0" applyFont="1" applyFill="1" applyBorder="1"/>
    <xf numFmtId="0" fontId="11" fillId="2" borderId="12" xfId="0" applyFont="1" applyFill="1" applyBorder="1"/>
    <xf numFmtId="0" fontId="11" fillId="2" borderId="24" xfId="0" applyFont="1" applyFill="1" applyBorder="1"/>
    <xf numFmtId="0" fontId="10" fillId="3" borderId="15" xfId="0" applyFont="1" applyFill="1" applyBorder="1"/>
    <xf numFmtId="0" fontId="10" fillId="3" borderId="16" xfId="0" applyFont="1" applyFill="1" applyBorder="1"/>
    <xf numFmtId="0" fontId="10" fillId="3" borderId="17" xfId="0" applyFont="1" applyFill="1" applyBorder="1"/>
    <xf numFmtId="0" fontId="10" fillId="3" borderId="22" xfId="0" applyFont="1" applyFill="1" applyBorder="1"/>
    <xf numFmtId="0" fontId="11" fillId="2" borderId="18" xfId="0" applyFont="1" applyFill="1" applyBorder="1"/>
    <xf numFmtId="0" fontId="11" fillId="2" borderId="19" xfId="0" applyFont="1" applyFill="1" applyBorder="1"/>
    <xf numFmtId="0" fontId="10" fillId="3" borderId="0" xfId="0" applyFont="1" applyFill="1" applyBorder="1" applyAlignment="1">
      <alignment horizontal="right"/>
    </xf>
    <xf numFmtId="0" fontId="10" fillId="3" borderId="16" xfId="0" applyFont="1" applyFill="1" applyBorder="1" applyAlignment="1">
      <alignment horizontal="right"/>
    </xf>
    <xf numFmtId="0" fontId="10" fillId="3" borderId="15" xfId="0" applyFont="1" applyFill="1" applyBorder="1" applyAlignment="1">
      <alignment horizontal="right"/>
    </xf>
    <xf numFmtId="0" fontId="10" fillId="3" borderId="17" xfId="0" applyFont="1" applyFill="1" applyBorder="1" applyAlignment="1">
      <alignment horizontal="right"/>
    </xf>
    <xf numFmtId="0" fontId="11" fillId="2" borderId="14" xfId="0" applyFont="1" applyFill="1" applyBorder="1"/>
    <xf numFmtId="0" fontId="10" fillId="2" borderId="13" xfId="0" applyFont="1" applyFill="1" applyBorder="1"/>
    <xf numFmtId="0" fontId="11" fillId="2" borderId="8" xfId="0" applyFont="1" applyFill="1" applyBorder="1"/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7" fontId="0" fillId="0" borderId="0" xfId="0" applyNumberFormat="1" applyFill="1" applyBorder="1"/>
    <xf numFmtId="167" fontId="0" fillId="0" borderId="5" xfId="0" applyNumberFormat="1" applyFill="1" applyBorder="1"/>
    <xf numFmtId="49" fontId="10" fillId="3" borderId="10" xfId="0" applyNumberFormat="1" applyFont="1" applyFill="1" applyBorder="1" applyAlignment="1">
      <alignment horizontal="right"/>
    </xf>
    <xf numFmtId="49" fontId="10" fillId="3" borderId="11" xfId="0" applyNumberFormat="1" applyFont="1" applyFill="1" applyBorder="1" applyAlignment="1">
      <alignment horizontal="right"/>
    </xf>
    <xf numFmtId="0" fontId="10" fillId="3" borderId="1" xfId="0" applyFont="1" applyFill="1" applyBorder="1" applyAlignment="1">
      <alignment horizontal="right"/>
    </xf>
    <xf numFmtId="0" fontId="10" fillId="3" borderId="4" xfId="0" applyFont="1" applyFill="1" applyBorder="1" applyAlignment="1">
      <alignment horizontal="right"/>
    </xf>
    <xf numFmtId="0" fontId="11" fillId="2" borderId="28" xfId="0" applyFont="1" applyFill="1" applyBorder="1"/>
    <xf numFmtId="49" fontId="10" fillId="3" borderId="4" xfId="0" applyNumberFormat="1" applyFont="1" applyFill="1" applyBorder="1" applyAlignment="1">
      <alignment horizontal="right"/>
    </xf>
    <xf numFmtId="49" fontId="10" fillId="3" borderId="0" xfId="0" applyNumberFormat="1" applyFont="1" applyFill="1" applyBorder="1" applyAlignment="1">
      <alignment horizontal="right"/>
    </xf>
    <xf numFmtId="49" fontId="10" fillId="3" borderId="15" xfId="0" applyNumberFormat="1" applyFont="1" applyFill="1" applyBorder="1" applyAlignment="1">
      <alignment horizontal="right"/>
    </xf>
    <xf numFmtId="49" fontId="10" fillId="3" borderId="29" xfId="0" applyNumberFormat="1" applyFont="1" applyFill="1" applyBorder="1" applyAlignment="1">
      <alignment horizontal="right"/>
    </xf>
    <xf numFmtId="49" fontId="10" fillId="3" borderId="16" xfId="0" applyNumberFormat="1" applyFont="1" applyFill="1" applyBorder="1" applyAlignment="1">
      <alignment horizontal="right"/>
    </xf>
    <xf numFmtId="49" fontId="10" fillId="3" borderId="17" xfId="0" applyNumberFormat="1" applyFont="1" applyFill="1" applyBorder="1" applyAlignment="1">
      <alignment horizontal="right"/>
    </xf>
    <xf numFmtId="167" fontId="0" fillId="0" borderId="7" xfId="0" applyNumberFormat="1" applyFill="1" applyBorder="1"/>
    <xf numFmtId="167" fontId="0" fillId="0" borderId="8" xfId="0" applyNumberFormat="1" applyFill="1" applyBorder="1"/>
    <xf numFmtId="49" fontId="0" fillId="0" borderId="1" xfId="0" applyNumberFormat="1" applyFill="1" applyBorder="1"/>
    <xf numFmtId="49" fontId="0" fillId="0" borderId="2" xfId="0" applyNumberFormat="1" applyFill="1" applyBorder="1"/>
    <xf numFmtId="0" fontId="0" fillId="0" borderId="30" xfId="0" applyFill="1" applyBorder="1"/>
    <xf numFmtId="0" fontId="10" fillId="3" borderId="4" xfId="0" applyNumberFormat="1" applyFont="1" applyFill="1" applyBorder="1" applyAlignment="1">
      <alignment horizontal="right"/>
    </xf>
    <xf numFmtId="0" fontId="0" fillId="0" borderId="8" xfId="0" applyBorder="1"/>
    <xf numFmtId="0" fontId="0" fillId="0" borderId="0" xfId="0" applyFill="1" applyBorder="1" applyAlignment="1">
      <alignment horizontal="center"/>
    </xf>
    <xf numFmtId="168" fontId="0" fillId="0" borderId="0" xfId="0" applyNumberFormat="1" applyFill="1" applyBorder="1"/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8" fontId="0" fillId="0" borderId="6" xfId="0" applyNumberFormat="1" applyFill="1" applyBorder="1"/>
    <xf numFmtId="49" fontId="0" fillId="0" borderId="6" xfId="0" applyNumberFormat="1" applyFill="1" applyBorder="1"/>
    <xf numFmtId="49" fontId="0" fillId="0" borderId="4" xfId="0" applyNumberFormat="1" applyFill="1" applyBorder="1"/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1" xfId="0" applyBorder="1"/>
    <xf numFmtId="164" fontId="12" fillId="0" borderId="0" xfId="0" applyNumberFormat="1" applyFont="1" applyBorder="1"/>
    <xf numFmtId="44" fontId="0" fillId="0" borderId="0" xfId="1" applyFont="1" applyBorder="1"/>
    <xf numFmtId="44" fontId="0" fillId="0" borderId="0" xfId="1" applyFont="1"/>
    <xf numFmtId="44" fontId="0" fillId="0" borderId="0" xfId="0" applyNumberFormat="1" applyBorder="1"/>
    <xf numFmtId="44" fontId="0" fillId="0" borderId="0" xfId="0" applyNumberFormat="1"/>
    <xf numFmtId="0" fontId="0" fillId="4" borderId="0" xfId="0" applyFill="1"/>
    <xf numFmtId="167" fontId="0" fillId="4" borderId="0" xfId="0" applyNumberFormat="1" applyFill="1" applyBorder="1"/>
    <xf numFmtId="0" fontId="0" fillId="4" borderId="0" xfId="0" applyFill="1" applyBorder="1"/>
    <xf numFmtId="0" fontId="0" fillId="4" borderId="7" xfId="0" applyFill="1" applyBorder="1"/>
    <xf numFmtId="0" fontId="0" fillId="4" borderId="6" xfId="0" applyFill="1" applyBorder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0" fillId="4" borderId="1" xfId="0" applyFill="1" applyBorder="1"/>
    <xf numFmtId="167" fontId="0" fillId="4" borderId="8" xfId="0" applyNumberFormat="1" applyFill="1" applyBorder="1"/>
    <xf numFmtId="167" fontId="0" fillId="4" borderId="7" xfId="0" applyNumberFormat="1" applyFill="1" applyBorder="1"/>
    <xf numFmtId="168" fontId="0" fillId="4" borderId="6" xfId="0" applyNumberFormat="1" applyFill="1" applyBorder="1"/>
    <xf numFmtId="0" fontId="0" fillId="4" borderId="8" xfId="0" applyFill="1" applyBorder="1"/>
    <xf numFmtId="0" fontId="0" fillId="4" borderId="5" xfId="0" applyFill="1" applyBorder="1"/>
    <xf numFmtId="49" fontId="0" fillId="4" borderId="4" xfId="0" applyNumberFormat="1" applyFill="1" applyBorder="1"/>
    <xf numFmtId="0" fontId="0" fillId="4" borderId="4" xfId="0" applyFill="1" applyBorder="1"/>
    <xf numFmtId="49" fontId="0" fillId="4" borderId="6" xfId="0" applyNumberFormat="1" applyFill="1" applyBorder="1"/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49" fontId="0" fillId="4" borderId="2" xfId="0" applyNumberFormat="1" applyFill="1" applyBorder="1"/>
    <xf numFmtId="49" fontId="0" fillId="4" borderId="1" xfId="0" applyNumberFormat="1" applyFill="1" applyBorder="1"/>
    <xf numFmtId="0" fontId="0" fillId="4" borderId="6" xfId="0" applyFill="1" applyBorder="1"/>
    <xf numFmtId="0" fontId="0" fillId="4" borderId="30" xfId="0" applyFill="1" applyBorder="1"/>
    <xf numFmtId="0" fontId="0" fillId="4" borderId="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67" fontId="0" fillId="4" borderId="5" xfId="0" applyNumberFormat="1" applyFill="1" applyBorder="1"/>
    <xf numFmtId="0" fontId="3" fillId="4" borderId="0" xfId="0" applyFont="1" applyFill="1"/>
    <xf numFmtId="0" fontId="1" fillId="4" borderId="0" xfId="0" applyFont="1" applyFill="1"/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Fill="1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/>
    <xf numFmtId="0" fontId="12" fillId="0" borderId="0" xfId="0" applyFont="1"/>
    <xf numFmtId="164" fontId="12" fillId="0" borderId="0" xfId="0" applyNumberFormat="1" applyFont="1"/>
    <xf numFmtId="0" fontId="12" fillId="0" borderId="7" xfId="0" applyFont="1" applyBorder="1"/>
    <xf numFmtId="0" fontId="12" fillId="0" borderId="32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Driver Age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'Driver Age Factor'!$C$14</c:f>
              <c:strCache>
                <c:ptCount val="1"/>
                <c:pt idx="0">
                  <c:v>Factor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'Driver Age Factor'!$B$15:$B$69</c:f>
              <c:strCach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70+</c:v>
                </c:pt>
              </c:strCache>
            </c:strRef>
          </c:cat>
          <c:val>
            <c:numRef>
              <c:f>'Driver Age Factor'!$C$15:$C$69</c:f>
              <c:numCache>
                <c:formatCode>0.000</c:formatCode>
                <c:ptCount val="55"/>
                <c:pt idx="0">
                  <c:v>1.5080719791824519</c:v>
                </c:pt>
                <c:pt idx="1">
                  <c:v>1.4496519599491975</c:v>
                </c:pt>
                <c:pt idx="2">
                  <c:v>1.3968560042777567</c:v>
                </c:pt>
                <c:pt idx="3">
                  <c:v>1.3491442465341223</c:v>
                </c:pt>
                <c:pt idx="4">
                  <c:v>1.3060404463306547</c:v>
                </c:pt>
                <c:pt idx="5">
                  <c:v>1.2671236635380843</c:v>
                </c:pt>
                <c:pt idx="6">
                  <c:v>1.2320211103637053</c:v>
                </c:pt>
                <c:pt idx="7">
                  <c:v>1.2004019991669412</c:v>
                </c:pt>
                <c:pt idx="8">
                  <c:v>1.1719722342954522</c:v>
                </c:pt>
                <c:pt idx="9">
                  <c:v>1.1464698207156214</c:v>
                </c:pt>
                <c:pt idx="10">
                  <c:v>1.1236608825132082</c:v>
                </c:pt>
                <c:pt idx="11">
                  <c:v>1.1033362012083761</c:v>
                </c:pt>
                <c:pt idx="12">
                  <c:v>1.0853081978772527</c:v>
                </c:pt>
                <c:pt idx="13">
                  <c:v>1.0694082947985202</c:v>
                </c:pt>
                <c:pt idx="14">
                  <c:v>1.0554846021550799</c:v>
                </c:pt>
                <c:pt idx="15">
                  <c:v>1.0433998835501441</c:v>
                </c:pt>
                <c:pt idx="16">
                  <c:v>1.0330297610166645</c:v>
                </c:pt>
                <c:pt idx="17">
                  <c:v>1.0242611260325476</c:v>
                </c:pt>
                <c:pt idx="18">
                  <c:v>1.0169907279857151</c:v>
                </c:pt>
                <c:pt idx="19">
                  <c:v>1.0111239157146414</c:v>
                </c:pt>
                <c:pt idx="20">
                  <c:v>1.006573511307032</c:v>
                </c:pt>
                <c:pt idx="21">
                  <c:v>1.0032587983756553</c:v>
                </c:pt>
                <c:pt idx="22">
                  <c:v>1.0011046096323242</c:v>
                </c:pt>
                <c:pt idx="23">
                  <c:v>1.0000405008201361</c:v>
                </c:pt>
                <c:pt idx="24">
                  <c:v>1</c:v>
                </c:pt>
                <c:pt idx="25">
                  <c:v>1.0009199228697245</c:v>
                </c:pt>
                <c:pt idx="26">
                  <c:v>1.0027397462638135</c:v>
                </c:pt>
                <c:pt idx="27">
                  <c:v>1.0054010332739012</c:v>
                </c:pt>
                <c:pt idx="28">
                  <c:v>1.0088469045719339</c:v>
                </c:pt>
                <c:pt idx="29">
                  <c:v>1.0130215515342391</c:v>
                </c:pt>
                <c:pt idx="30">
                  <c:v>1.0178697876737957</c:v>
                </c:pt>
                <c:pt idx="31">
                  <c:v>1.0233366357059426</c:v>
                </c:pt>
                <c:pt idx="32">
                  <c:v>1.0293669483119479</c:v>
                </c:pt>
                <c:pt idx="33">
                  <c:v>1.0359050613349043</c:v>
                </c:pt>
                <c:pt idx="34">
                  <c:v>1.042894478750763</c:v>
                </c:pt>
                <c:pt idx="35">
                  <c:v>1.0502775893088807</c:v>
                </c:pt>
                <c:pt idx="36">
                  <c:v>1.0579954152345323</c:v>
                </c:pt>
                <c:pt idx="37">
                  <c:v>1.0659873938318054</c:v>
                </c:pt>
                <c:pt idx="38">
                  <c:v>1.0741911932189789</c:v>
                </c:pt>
                <c:pt idx="39">
                  <c:v>1.0825425637684738</c:v>
                </c:pt>
                <c:pt idx="40">
                  <c:v>1.0909752271068902</c:v>
                </c:pt>
                <c:pt idx="41">
                  <c:v>1.0994208047538516</c:v>
                </c:pt>
                <c:pt idx="42">
                  <c:v>1.1078087886366976</c:v>
                </c:pt>
                <c:pt idx="43">
                  <c:v>1.1160665558061658</c:v>
                </c:pt>
                <c:pt idx="44">
                  <c:v>1.1241194296905372</c:v>
                </c:pt>
                <c:pt idx="45">
                  <c:v>1.1318907901562738</c:v>
                </c:pt>
                <c:pt idx="46">
                  <c:v>1.1393022344862935</c:v>
                </c:pt>
                <c:pt idx="47">
                  <c:v>1.146273791137286</c:v>
                </c:pt>
                <c:pt idx="48">
                  <c:v>1.1527241877903287</c:v>
                </c:pt>
                <c:pt idx="49">
                  <c:v>1.1585711747608862</c:v>
                </c:pt>
                <c:pt idx="50">
                  <c:v>1.1637319042830545</c:v>
                </c:pt>
                <c:pt idx="51">
                  <c:v>1.1681233655282988</c:v>
                </c:pt>
                <c:pt idx="52">
                  <c:v>1.1716628744628925</c:v>
                </c:pt>
                <c:pt idx="53">
                  <c:v>1.1742686167951844</c:v>
                </c:pt>
                <c:pt idx="54">
                  <c:v>1.1758602413209998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F8-314A-BF98-AC1983CF0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0451439"/>
        <c:axId val="1020453119"/>
      </c:lineChart>
      <c:catAx>
        <c:axId val="102045143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r>
                  <a:rPr lang="en-US" sz="1200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453119"/>
        <c:crosses val="autoZero"/>
        <c:auto val="1"/>
        <c:lblAlgn val="ctr"/>
        <c:lblOffset val="100"/>
        <c:noMultiLvlLbl val="0"/>
      </c:catAx>
      <c:valAx>
        <c:axId val="10204531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r>
                  <a:rPr lang="en-US" sz="1200"/>
                  <a:t>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451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Policy Premium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Sheet2!$T$25</c:f>
              <c:strCache>
                <c:ptCount val="1"/>
                <c:pt idx="0">
                  <c:v>Driver Assignment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Sheet2!$S$26:$S$29</c:f>
              <c:strCache>
                <c:ptCount val="4"/>
                <c:pt idx="0">
                  <c:v>BI</c:v>
                </c:pt>
                <c:pt idx="1">
                  <c:v>PD</c:v>
                </c:pt>
                <c:pt idx="2">
                  <c:v>COMP</c:v>
                </c:pt>
                <c:pt idx="3">
                  <c:v>COLL</c:v>
                </c:pt>
              </c:strCache>
            </c:strRef>
          </c:cat>
          <c:val>
            <c:numRef>
              <c:f>Sheet2!$T$26:$T$29</c:f>
              <c:numCache>
                <c:formatCode>_("$"* #,##0.00_);_("$"* \(#,##0.00\);_("$"* "-"??_);_(@_)</c:formatCode>
                <c:ptCount val="4"/>
                <c:pt idx="0">
                  <c:v>244.30125414999998</c:v>
                </c:pt>
                <c:pt idx="1">
                  <c:v>252.77954828333336</c:v>
                </c:pt>
                <c:pt idx="2">
                  <c:v>362.14876208333334</c:v>
                </c:pt>
                <c:pt idx="3">
                  <c:v>548.71328349999999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D-9A4F-A678-991B2C92B40B}"/>
            </c:ext>
          </c:extLst>
        </c:ser>
        <c:ser>
          <c:idx val="1"/>
          <c:order val="1"/>
          <c:tx>
            <c:strRef>
              <c:f>Sheet2!$U$25</c:f>
              <c:strCache>
                <c:ptCount val="1"/>
                <c:pt idx="0">
                  <c:v>Driver Averaging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Sheet2!$S$26:$S$29</c:f>
              <c:strCache>
                <c:ptCount val="4"/>
                <c:pt idx="0">
                  <c:v>BI</c:v>
                </c:pt>
                <c:pt idx="1">
                  <c:v>PD</c:v>
                </c:pt>
                <c:pt idx="2">
                  <c:v>COMP</c:v>
                </c:pt>
                <c:pt idx="3">
                  <c:v>COLL</c:v>
                </c:pt>
              </c:strCache>
            </c:strRef>
          </c:cat>
          <c:val>
            <c:numRef>
              <c:f>Sheet2!$U$26:$U$29</c:f>
              <c:numCache>
                <c:formatCode>_("$"* #,##0.00_);_("$"* \(#,##0.00\);_("$"* "-"??_);_(@_)</c:formatCode>
                <c:ptCount val="4"/>
                <c:pt idx="0">
                  <c:v>250.59903784999997</c:v>
                </c:pt>
                <c:pt idx="1">
                  <c:v>258.83412863333336</c:v>
                </c:pt>
                <c:pt idx="2">
                  <c:v>392.74664346666668</c:v>
                </c:pt>
                <c:pt idx="3">
                  <c:v>637.14212553333334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3D-9A4F-A678-991B2C92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1672672"/>
        <c:axId val="1693399536"/>
      </c:barChart>
      <c:catAx>
        <c:axId val="175167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399536"/>
        <c:crosses val="autoZero"/>
        <c:auto val="1"/>
        <c:lblAlgn val="ctr"/>
        <c:lblOffset val="100"/>
        <c:noMultiLvlLbl val="0"/>
      </c:catAx>
      <c:valAx>
        <c:axId val="16933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67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298450</xdr:colOff>
      <xdr:row>13</xdr:row>
      <xdr:rowOff>171450</xdr:rowOff>
    </xdr:from>
    <xdr:to>
      <xdr:col>18</xdr:col>
      <xdr:colOff>660400</xdr:colOff>
      <xdr:row>38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F5F399-996B-184C-B383-98B2EB81C8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336550</xdr:colOff>
      <xdr:row>43</xdr:row>
      <xdr:rowOff>6350</xdr:rowOff>
    </xdr:from>
    <xdr:to>
      <xdr:col>9</xdr:col>
      <xdr:colOff>482600</xdr:colOff>
      <xdr:row>63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76E097-31D8-1246-B3AB-F87FFA5F11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6"/>
  <sheetViews>
    <sheetView zoomScaleNormal="100" workbookViewId="0">
      <selection activeCell="F27" sqref="F27"/>
    </sheetView>
  </sheetViews>
  <sheetFormatPr baseColWidth="10" defaultColWidth="9.1640625" defaultRowHeight="15"/>
  <cols>
    <col min="1" max="1" width="19.5" style="4" customWidth="1"/>
    <col min="2" max="2" width="27" style="4" customWidth="1"/>
    <col min="3" max="6" width="9.1640625" style="4"/>
    <col min="7" max="7" width="24" style="4" customWidth="1"/>
    <col min="8" max="8" width="9.1640625" style="4"/>
    <col min="9" max="9" width="14.6640625" style="4" bestFit="1" customWidth="1"/>
    <col min="10" max="16384" width="9.1640625" style="4"/>
  </cols>
  <sheetData>
    <row r="1" spans="1:7">
      <c r="A1" s="26" t="s">
        <v>48</v>
      </c>
    </row>
    <row r="2" spans="1:7">
      <c r="A2" s="27"/>
      <c r="B2" s="28"/>
      <c r="C2" s="28" t="s">
        <v>0</v>
      </c>
      <c r="D2" s="28" t="s">
        <v>1</v>
      </c>
      <c r="E2" s="28" t="s">
        <v>2</v>
      </c>
      <c r="F2" s="29" t="s">
        <v>3</v>
      </c>
      <c r="G2" s="16" t="s">
        <v>85</v>
      </c>
    </row>
    <row r="3" spans="1:7">
      <c r="A3" s="21"/>
      <c r="B3" s="16" t="s">
        <v>4</v>
      </c>
      <c r="C3" s="16" t="s">
        <v>18</v>
      </c>
      <c r="D3" s="16" t="s">
        <v>18</v>
      </c>
      <c r="E3" s="16" t="s">
        <v>18</v>
      </c>
      <c r="F3" s="30" t="s">
        <v>18</v>
      </c>
    </row>
    <row r="4" spans="1:7">
      <c r="A4" s="21"/>
      <c r="B4" s="16"/>
      <c r="C4" s="16"/>
      <c r="D4" s="16"/>
      <c r="E4" s="16"/>
      <c r="F4" s="30"/>
    </row>
    <row r="5" spans="1:7">
      <c r="A5" s="165" t="s">
        <v>23</v>
      </c>
      <c r="B5" s="28" t="s">
        <v>19</v>
      </c>
      <c r="C5" s="28" t="s">
        <v>20</v>
      </c>
      <c r="D5" s="28" t="s">
        <v>20</v>
      </c>
      <c r="E5" s="28"/>
      <c r="F5" s="29"/>
    </row>
    <row r="6" spans="1:7">
      <c r="A6" s="166"/>
      <c r="B6" s="16" t="s">
        <v>21</v>
      </c>
      <c r="C6" s="16" t="s">
        <v>20</v>
      </c>
      <c r="D6" s="16" t="s">
        <v>20</v>
      </c>
      <c r="E6" s="16" t="s">
        <v>20</v>
      </c>
      <c r="F6" s="30" t="s">
        <v>20</v>
      </c>
    </row>
    <row r="7" spans="1:7">
      <c r="A7" s="167"/>
      <c r="B7" s="31" t="s">
        <v>79</v>
      </c>
      <c r="C7" s="31" t="s">
        <v>20</v>
      </c>
      <c r="D7" s="31" t="s">
        <v>20</v>
      </c>
      <c r="E7" s="31" t="s">
        <v>20</v>
      </c>
      <c r="F7" s="32" t="s">
        <v>20</v>
      </c>
      <c r="G7" s="16" t="s">
        <v>93</v>
      </c>
    </row>
    <row r="8" spans="1:7">
      <c r="A8" s="21"/>
      <c r="B8" s="16"/>
      <c r="C8" s="16"/>
      <c r="D8" s="16"/>
      <c r="E8" s="16"/>
      <c r="F8" s="30"/>
    </row>
    <row r="9" spans="1:7">
      <c r="A9" s="165" t="s">
        <v>22</v>
      </c>
      <c r="B9" s="28" t="s">
        <v>16</v>
      </c>
      <c r="C9" s="28" t="s">
        <v>20</v>
      </c>
      <c r="D9" s="28" t="s">
        <v>20</v>
      </c>
      <c r="E9" s="28" t="s">
        <v>20</v>
      </c>
      <c r="F9" s="29" t="s">
        <v>20</v>
      </c>
    </row>
    <row r="10" spans="1:7">
      <c r="A10" s="166"/>
      <c r="B10" s="16" t="s">
        <v>56</v>
      </c>
      <c r="C10" s="16" t="s">
        <v>20</v>
      </c>
      <c r="D10" s="16" t="s">
        <v>20</v>
      </c>
      <c r="E10" s="16" t="s">
        <v>20</v>
      </c>
      <c r="F10" s="30" t="s">
        <v>20</v>
      </c>
    </row>
    <row r="11" spans="1:7">
      <c r="A11" s="167"/>
      <c r="B11" s="31" t="s">
        <v>17</v>
      </c>
      <c r="C11" s="31" t="s">
        <v>20</v>
      </c>
      <c r="D11" s="31" t="s">
        <v>20</v>
      </c>
      <c r="E11" s="31" t="s">
        <v>20</v>
      </c>
      <c r="F11" s="32" t="s">
        <v>20</v>
      </c>
    </row>
    <row r="12" spans="1:7">
      <c r="A12" s="21"/>
      <c r="B12" s="16"/>
      <c r="C12" s="16"/>
      <c r="D12" s="16"/>
      <c r="E12" s="16"/>
      <c r="F12" s="30"/>
    </row>
    <row r="13" spans="1:7">
      <c r="A13" s="165" t="s">
        <v>24</v>
      </c>
      <c r="B13" s="28" t="s">
        <v>25</v>
      </c>
      <c r="C13" s="28"/>
      <c r="D13" s="28"/>
      <c r="E13" s="28" t="s">
        <v>20</v>
      </c>
      <c r="F13" s="29" t="s">
        <v>20</v>
      </c>
    </row>
    <row r="14" spans="1:7">
      <c r="A14" s="166"/>
      <c r="B14" s="16" t="s">
        <v>26</v>
      </c>
      <c r="C14" s="16" t="s">
        <v>20</v>
      </c>
      <c r="D14" s="16" t="s">
        <v>20</v>
      </c>
      <c r="E14" s="16" t="s">
        <v>20</v>
      </c>
      <c r="F14" s="30" t="s">
        <v>20</v>
      </c>
    </row>
    <row r="15" spans="1:7">
      <c r="A15" s="166"/>
      <c r="B15" s="16" t="s">
        <v>27</v>
      </c>
      <c r="C15" s="16" t="s">
        <v>20</v>
      </c>
      <c r="D15" s="16" t="s">
        <v>20</v>
      </c>
      <c r="E15" s="16" t="s">
        <v>20</v>
      </c>
      <c r="F15" s="30" t="s">
        <v>20</v>
      </c>
    </row>
    <row r="16" spans="1:7">
      <c r="A16" s="167"/>
      <c r="B16" s="31" t="s">
        <v>84</v>
      </c>
      <c r="C16" s="31" t="s">
        <v>20</v>
      </c>
      <c r="D16" s="31" t="s">
        <v>20</v>
      </c>
      <c r="E16" s="31" t="s">
        <v>20</v>
      </c>
      <c r="F16" s="32" t="s">
        <v>20</v>
      </c>
      <c r="G16" s="16" t="s">
        <v>92</v>
      </c>
    </row>
    <row r="17" spans="1:8">
      <c r="A17" s="21"/>
      <c r="B17" s="16"/>
      <c r="C17" s="16"/>
      <c r="D17" s="16"/>
      <c r="E17" s="16"/>
      <c r="F17" s="30"/>
    </row>
    <row r="18" spans="1:8">
      <c r="A18" s="33"/>
      <c r="B18" s="31" t="s">
        <v>28</v>
      </c>
      <c r="C18" s="31" t="s">
        <v>29</v>
      </c>
      <c r="D18" s="31" t="s">
        <v>29</v>
      </c>
      <c r="E18" s="31" t="s">
        <v>29</v>
      </c>
      <c r="F18" s="32" t="s">
        <v>29</v>
      </c>
    </row>
    <row r="19" spans="1:8">
      <c r="A19" s="27"/>
      <c r="B19" s="28"/>
      <c r="C19" s="28"/>
      <c r="D19" s="28"/>
      <c r="E19" s="28"/>
      <c r="F19" s="29"/>
    </row>
    <row r="20" spans="1:8">
      <c r="A20" s="33"/>
      <c r="B20" s="31" t="s">
        <v>94</v>
      </c>
      <c r="C20" s="168" t="s">
        <v>97</v>
      </c>
      <c r="D20" s="168"/>
      <c r="E20" s="168"/>
      <c r="F20" s="169"/>
      <c r="G20" s="4" t="s">
        <v>98</v>
      </c>
    </row>
    <row r="22" spans="1:8">
      <c r="A22" s="4" t="s">
        <v>47</v>
      </c>
      <c r="B22" s="4" t="s">
        <v>119</v>
      </c>
      <c r="F22" s="16"/>
      <c r="G22" s="16"/>
      <c r="H22" s="16"/>
    </row>
    <row r="23" spans="1:8">
      <c r="A23" s="4" t="s">
        <v>20</v>
      </c>
      <c r="B23" s="4" t="s">
        <v>120</v>
      </c>
      <c r="F23" s="16"/>
      <c r="G23" s="16"/>
      <c r="H23" s="16"/>
    </row>
    <row r="24" spans="1:8">
      <c r="A24" s="4" t="s">
        <v>29</v>
      </c>
      <c r="F24" s="16"/>
      <c r="G24" s="16"/>
      <c r="H24" s="16"/>
    </row>
    <row r="25" spans="1:8">
      <c r="F25" s="16"/>
      <c r="G25" s="16"/>
      <c r="H25" s="16"/>
    </row>
    <row r="26" spans="1:8">
      <c r="A26" s="16"/>
      <c r="B26" s="16"/>
      <c r="C26" s="16"/>
      <c r="F26" s="16"/>
      <c r="G26" s="16"/>
      <c r="H26" s="16"/>
    </row>
    <row r="27" spans="1:8">
      <c r="A27" s="16"/>
      <c r="B27" s="16"/>
      <c r="C27" s="16"/>
      <c r="D27" s="16"/>
      <c r="F27" s="16"/>
      <c r="G27" s="16"/>
      <c r="H27" s="16"/>
    </row>
    <row r="28" spans="1:8">
      <c r="A28" s="16"/>
      <c r="B28" s="16"/>
      <c r="C28" s="16"/>
      <c r="D28" s="16"/>
      <c r="F28" s="16"/>
      <c r="G28" s="16"/>
      <c r="H28" s="16"/>
    </row>
    <row r="29" spans="1:8">
      <c r="A29" s="16"/>
      <c r="B29" s="16"/>
      <c r="C29" s="16"/>
      <c r="D29" s="16"/>
      <c r="F29" s="16"/>
      <c r="G29" s="16"/>
      <c r="H29" s="16"/>
    </row>
    <row r="30" spans="1:8">
      <c r="A30" s="16"/>
      <c r="B30" s="16"/>
      <c r="C30" s="16"/>
      <c r="D30" s="16"/>
      <c r="F30" s="16"/>
      <c r="G30" s="16"/>
      <c r="H30" s="16"/>
    </row>
    <row r="31" spans="1:8">
      <c r="A31" s="16"/>
      <c r="B31" s="16"/>
      <c r="C31" s="16"/>
      <c r="D31" s="16"/>
      <c r="F31" s="16"/>
      <c r="G31" s="16">
        <v>1</v>
      </c>
      <c r="H31" s="16"/>
    </row>
    <row r="32" spans="1:8">
      <c r="A32" s="16"/>
      <c r="B32" s="16"/>
      <c r="C32" s="16"/>
      <c r="D32" s="16"/>
      <c r="F32" s="16"/>
      <c r="G32" s="16"/>
      <c r="H32" s="16"/>
    </row>
    <row r="33" spans="1:4">
      <c r="A33" s="16"/>
      <c r="B33" s="16"/>
      <c r="C33" s="16"/>
      <c r="D33" s="16"/>
    </row>
    <row r="34" spans="1:4">
      <c r="A34" s="16"/>
      <c r="B34" s="16"/>
      <c r="C34" s="16"/>
    </row>
    <row r="35" spans="1:4">
      <c r="A35" s="16"/>
      <c r="B35" s="16"/>
      <c r="C35" s="16"/>
    </row>
    <row r="36" spans="1:4">
      <c r="A36" s="16"/>
      <c r="B36" s="16"/>
      <c r="C36" s="16"/>
    </row>
  </sheetData>
  <mergeCells count="4">
    <mergeCell ref="A5:A7"/>
    <mergeCell ref="A9:A11"/>
    <mergeCell ref="A13:A16"/>
    <mergeCell ref="C20:F2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69"/>
  <sheetViews>
    <sheetView topLeftCell="A6" workbookViewId="0">
      <selection activeCell="E29" sqref="E29"/>
    </sheetView>
  </sheetViews>
  <sheetFormatPr baseColWidth="10" defaultColWidth="8.83203125" defaultRowHeight="15"/>
  <cols>
    <col min="2" max="2" width="15.33203125" customWidth="1"/>
    <col min="3" max="3" width="11.1640625" customWidth="1"/>
    <col min="4" max="4" width="11.33203125" bestFit="1" customWidth="1"/>
  </cols>
  <sheetData>
    <row r="2" spans="1:7">
      <c r="B2" t="s">
        <v>109</v>
      </c>
    </row>
    <row r="4" spans="1:7">
      <c r="B4" t="s">
        <v>107</v>
      </c>
    </row>
    <row r="6" spans="1:7">
      <c r="C6" t="s">
        <v>105</v>
      </c>
      <c r="D6" t="s">
        <v>106</v>
      </c>
      <c r="F6" s="22"/>
    </row>
    <row r="7" spans="1:7">
      <c r="B7" t="s">
        <v>99</v>
      </c>
      <c r="C7" t="s">
        <v>102</v>
      </c>
      <c r="D7" s="19">
        <v>-8.8349999999999998E-2</v>
      </c>
      <c r="F7" t="s">
        <v>117</v>
      </c>
      <c r="G7">
        <v>1.4219999999999999</v>
      </c>
    </row>
    <row r="8" spans="1:7">
      <c r="B8" t="s">
        <v>100</v>
      </c>
      <c r="C8" t="s">
        <v>103</v>
      </c>
      <c r="D8" s="19">
        <v>1.74E-3</v>
      </c>
    </row>
    <row r="9" spans="1:7">
      <c r="B9" t="s">
        <v>101</v>
      </c>
      <c r="C9" t="s">
        <v>104</v>
      </c>
      <c r="D9" s="19">
        <v>-1.0499999999999999E-5</v>
      </c>
    </row>
    <row r="11" spans="1:7">
      <c r="B11" s="1" t="s">
        <v>112</v>
      </c>
    </row>
    <row r="12" spans="1:7">
      <c r="B12" t="s">
        <v>110</v>
      </c>
    </row>
    <row r="14" spans="1:7">
      <c r="B14" s="61" t="s">
        <v>56</v>
      </c>
      <c r="C14" s="62" t="s">
        <v>111</v>
      </c>
      <c r="D14" s="22"/>
    </row>
    <row r="15" spans="1:7">
      <c r="A15" s="24"/>
      <c r="B15" s="63">
        <v>16</v>
      </c>
      <c r="C15" s="65">
        <f>EXP(1.422)*EXP($D$7*B15)*EXP($D$8*(B15)^2)*EXP($D$9*(B15)^(3))</f>
        <v>1.5080719791824519</v>
      </c>
      <c r="D15" s="23"/>
    </row>
    <row r="16" spans="1:7">
      <c r="A16" s="25"/>
      <c r="B16" s="63">
        <v>17</v>
      </c>
      <c r="C16" s="65">
        <f t="shared" ref="C16:C68" si="0">EXP(1.422)*EXP($D$7*B16)*EXP($D$8*(B16)^2)*EXP($D$9*(B16)^(3))</f>
        <v>1.4496519599491975</v>
      </c>
      <c r="D16" s="23"/>
    </row>
    <row r="17" spans="1:4">
      <c r="A17" s="24"/>
      <c r="B17" s="63">
        <v>18</v>
      </c>
      <c r="C17" s="65">
        <f t="shared" si="0"/>
        <v>1.3968560042777567</v>
      </c>
      <c r="D17" s="23"/>
    </row>
    <row r="18" spans="1:4">
      <c r="A18" s="25"/>
      <c r="B18" s="63">
        <v>19</v>
      </c>
      <c r="C18" s="65">
        <f t="shared" si="0"/>
        <v>1.3491442465341223</v>
      </c>
      <c r="D18" s="23"/>
    </row>
    <row r="19" spans="1:4">
      <c r="A19" s="24"/>
      <c r="B19" s="63">
        <v>20</v>
      </c>
      <c r="C19" s="65">
        <f t="shared" si="0"/>
        <v>1.3060404463306547</v>
      </c>
      <c r="D19" s="23"/>
    </row>
    <row r="20" spans="1:4">
      <c r="A20" s="25"/>
      <c r="B20" s="63">
        <v>21</v>
      </c>
      <c r="C20" s="65">
        <f t="shared" si="0"/>
        <v>1.2671236635380843</v>
      </c>
      <c r="D20" s="23"/>
    </row>
    <row r="21" spans="1:4">
      <c r="A21" s="24"/>
      <c r="B21" s="63">
        <v>22</v>
      </c>
      <c r="C21" s="65">
        <f t="shared" si="0"/>
        <v>1.2320211103637053</v>
      </c>
      <c r="D21" s="23"/>
    </row>
    <row r="22" spans="1:4">
      <c r="A22" s="25"/>
      <c r="B22" s="63">
        <v>23</v>
      </c>
      <c r="C22" s="65">
        <f t="shared" si="0"/>
        <v>1.2004019991669412</v>
      </c>
      <c r="D22" s="23"/>
    </row>
    <row r="23" spans="1:4">
      <c r="A23" s="24"/>
      <c r="B23" s="63">
        <v>24</v>
      </c>
      <c r="C23" s="65">
        <f t="shared" si="0"/>
        <v>1.1719722342954522</v>
      </c>
      <c r="D23" s="23"/>
    </row>
    <row r="24" spans="1:4">
      <c r="A24" s="25"/>
      <c r="B24" s="63">
        <v>25</v>
      </c>
      <c r="C24" s="65">
        <f t="shared" si="0"/>
        <v>1.1464698207156214</v>
      </c>
      <c r="D24" s="23"/>
    </row>
    <row r="25" spans="1:4">
      <c r="A25" s="24"/>
      <c r="B25" s="63">
        <v>26</v>
      </c>
      <c r="C25" s="65">
        <f t="shared" si="0"/>
        <v>1.1236608825132082</v>
      </c>
      <c r="D25" s="23"/>
    </row>
    <row r="26" spans="1:4">
      <c r="A26" s="25"/>
      <c r="B26" s="63">
        <v>27</v>
      </c>
      <c r="C26" s="65">
        <f t="shared" si="0"/>
        <v>1.1033362012083761</v>
      </c>
      <c r="D26" s="23"/>
    </row>
    <row r="27" spans="1:4">
      <c r="A27" s="24"/>
      <c r="B27" s="63">
        <v>28</v>
      </c>
      <c r="C27" s="65">
        <f t="shared" si="0"/>
        <v>1.0853081978772527</v>
      </c>
      <c r="D27" s="23"/>
    </row>
    <row r="28" spans="1:4">
      <c r="A28" s="25"/>
      <c r="B28" s="63">
        <v>29</v>
      </c>
      <c r="C28" s="65">
        <f t="shared" si="0"/>
        <v>1.0694082947985202</v>
      </c>
      <c r="D28" s="23"/>
    </row>
    <row r="29" spans="1:4">
      <c r="A29" s="24"/>
      <c r="B29" s="63">
        <v>30</v>
      </c>
      <c r="C29" s="65">
        <f t="shared" si="0"/>
        <v>1.0554846021550799</v>
      </c>
      <c r="D29" s="23"/>
    </row>
    <row r="30" spans="1:4">
      <c r="A30" s="25"/>
      <c r="B30" s="63">
        <v>31</v>
      </c>
      <c r="C30" s="65">
        <f t="shared" si="0"/>
        <v>1.0433998835501441</v>
      </c>
      <c r="D30" s="23"/>
    </row>
    <row r="31" spans="1:4">
      <c r="A31" s="24"/>
      <c r="B31" s="63">
        <v>32</v>
      </c>
      <c r="C31" s="65">
        <f t="shared" si="0"/>
        <v>1.0330297610166645</v>
      </c>
      <c r="D31" s="23"/>
    </row>
    <row r="32" spans="1:4">
      <c r="A32" s="25"/>
      <c r="B32" s="63">
        <v>33</v>
      </c>
      <c r="C32" s="65">
        <f t="shared" si="0"/>
        <v>1.0242611260325476</v>
      </c>
      <c r="D32" s="23"/>
    </row>
    <row r="33" spans="1:4">
      <c r="A33" s="24"/>
      <c r="B33" s="63">
        <v>34</v>
      </c>
      <c r="C33" s="65">
        <f t="shared" si="0"/>
        <v>1.0169907279857151</v>
      </c>
      <c r="D33" s="23"/>
    </row>
    <row r="34" spans="1:4">
      <c r="A34" s="25"/>
      <c r="B34" s="63">
        <v>35</v>
      </c>
      <c r="C34" s="65">
        <f t="shared" si="0"/>
        <v>1.0111239157146414</v>
      </c>
      <c r="D34" s="23"/>
    </row>
    <row r="35" spans="1:4">
      <c r="A35" s="24"/>
      <c r="B35" s="63">
        <v>36</v>
      </c>
      <c r="C35" s="65">
        <f t="shared" si="0"/>
        <v>1.006573511307032</v>
      </c>
      <c r="D35" s="23"/>
    </row>
    <row r="36" spans="1:4">
      <c r="A36" s="25"/>
      <c r="B36" s="63">
        <v>37</v>
      </c>
      <c r="C36" s="65">
        <f t="shared" si="0"/>
        <v>1.0032587983756553</v>
      </c>
      <c r="D36" s="23"/>
    </row>
    <row r="37" spans="1:4">
      <c r="A37" s="24"/>
      <c r="B37" s="63">
        <v>38</v>
      </c>
      <c r="C37" s="65">
        <f t="shared" si="0"/>
        <v>1.0011046096323242</v>
      </c>
      <c r="D37" s="23"/>
    </row>
    <row r="38" spans="1:4">
      <c r="A38" s="25"/>
      <c r="B38" s="63">
        <v>39</v>
      </c>
      <c r="C38" s="65">
        <f t="shared" si="0"/>
        <v>1.0000405008201361</v>
      </c>
      <c r="D38" s="23"/>
    </row>
    <row r="39" spans="1:4">
      <c r="A39" s="24"/>
      <c r="B39" s="63">
        <v>40</v>
      </c>
      <c r="C39" s="65">
        <f t="shared" si="0"/>
        <v>1</v>
      </c>
      <c r="D39" s="23"/>
    </row>
    <row r="40" spans="1:4">
      <c r="A40" s="25"/>
      <c r="B40" s="63">
        <v>41</v>
      </c>
      <c r="C40" s="65">
        <f t="shared" si="0"/>
        <v>1.0009199228697245</v>
      </c>
      <c r="D40" s="23"/>
    </row>
    <row r="41" spans="1:4">
      <c r="A41" s="24"/>
      <c r="B41" s="63">
        <v>42</v>
      </c>
      <c r="C41" s="65">
        <f t="shared" si="0"/>
        <v>1.0027397462638135</v>
      </c>
      <c r="D41" s="23"/>
    </row>
    <row r="42" spans="1:4">
      <c r="A42" s="25"/>
      <c r="B42" s="63">
        <v>43</v>
      </c>
      <c r="C42" s="65">
        <f t="shared" si="0"/>
        <v>1.0054010332739012</v>
      </c>
      <c r="D42" s="23"/>
    </row>
    <row r="43" spans="1:4">
      <c r="A43" s="24"/>
      <c r="B43" s="63">
        <v>44</v>
      </c>
      <c r="C43" s="65">
        <f t="shared" si="0"/>
        <v>1.0088469045719339</v>
      </c>
      <c r="D43" s="23"/>
    </row>
    <row r="44" spans="1:4">
      <c r="A44" s="25"/>
      <c r="B44" s="63">
        <v>45</v>
      </c>
      <c r="C44" s="65">
        <f t="shared" si="0"/>
        <v>1.0130215515342391</v>
      </c>
      <c r="D44" s="23"/>
    </row>
    <row r="45" spans="1:4">
      <c r="A45" s="24"/>
      <c r="B45" s="63">
        <v>46</v>
      </c>
      <c r="C45" s="65">
        <f t="shared" si="0"/>
        <v>1.0178697876737957</v>
      </c>
      <c r="D45" s="23"/>
    </row>
    <row r="46" spans="1:4">
      <c r="A46" s="25"/>
      <c r="B46" s="63">
        <v>47</v>
      </c>
      <c r="C46" s="65">
        <f t="shared" si="0"/>
        <v>1.0233366357059426</v>
      </c>
      <c r="D46" s="23"/>
    </row>
    <row r="47" spans="1:4">
      <c r="A47" s="24"/>
      <c r="B47" s="63">
        <v>48</v>
      </c>
      <c r="C47" s="65">
        <f t="shared" si="0"/>
        <v>1.0293669483119479</v>
      </c>
      <c r="D47" s="23"/>
    </row>
    <row r="48" spans="1:4">
      <c r="A48" s="25"/>
      <c r="B48" s="63">
        <v>49</v>
      </c>
      <c r="C48" s="65">
        <f t="shared" si="0"/>
        <v>1.0359050613349043</v>
      </c>
      <c r="D48" s="23"/>
    </row>
    <row r="49" spans="1:4">
      <c r="A49" s="24"/>
      <c r="B49" s="63">
        <v>50</v>
      </c>
      <c r="C49" s="65">
        <f t="shared" si="0"/>
        <v>1.042894478750763</v>
      </c>
      <c r="D49" s="23"/>
    </row>
    <row r="50" spans="1:4">
      <c r="A50" s="25"/>
      <c r="B50" s="63">
        <v>51</v>
      </c>
      <c r="C50" s="65">
        <f t="shared" si="0"/>
        <v>1.0502775893088807</v>
      </c>
      <c r="D50" s="23"/>
    </row>
    <row r="51" spans="1:4">
      <c r="A51" s="24"/>
      <c r="B51" s="63">
        <v>52</v>
      </c>
      <c r="C51" s="65">
        <f t="shared" si="0"/>
        <v>1.0579954152345323</v>
      </c>
      <c r="D51" s="23"/>
    </row>
    <row r="52" spans="1:4">
      <c r="A52" s="25"/>
      <c r="B52" s="63">
        <v>53</v>
      </c>
      <c r="C52" s="65">
        <f t="shared" si="0"/>
        <v>1.0659873938318054</v>
      </c>
      <c r="D52" s="23"/>
    </row>
    <row r="53" spans="1:4">
      <c r="A53" s="24"/>
      <c r="B53" s="63">
        <v>54</v>
      </c>
      <c r="C53" s="65">
        <f t="shared" si="0"/>
        <v>1.0741911932189789</v>
      </c>
      <c r="D53" s="23"/>
    </row>
    <row r="54" spans="1:4">
      <c r="A54" s="25"/>
      <c r="B54" s="63">
        <v>55</v>
      </c>
      <c r="C54" s="65">
        <f t="shared" si="0"/>
        <v>1.0825425637684738</v>
      </c>
      <c r="D54" s="23"/>
    </row>
    <row r="55" spans="1:4">
      <c r="A55" s="24"/>
      <c r="B55" s="63">
        <v>56</v>
      </c>
      <c r="C55" s="65">
        <f t="shared" si="0"/>
        <v>1.0909752271068902</v>
      </c>
      <c r="D55" s="23"/>
    </row>
    <row r="56" spans="1:4">
      <c r="A56" s="25"/>
      <c r="B56" s="63">
        <v>57</v>
      </c>
      <c r="C56" s="65">
        <f t="shared" si="0"/>
        <v>1.0994208047538516</v>
      </c>
      <c r="D56" s="23"/>
    </row>
    <row r="57" spans="1:4">
      <c r="A57" s="24"/>
      <c r="B57" s="63">
        <v>58</v>
      </c>
      <c r="C57" s="65">
        <f t="shared" si="0"/>
        <v>1.1078087886366976</v>
      </c>
      <c r="D57" s="23"/>
    </row>
    <row r="58" spans="1:4">
      <c r="A58" s="25"/>
      <c r="B58" s="63">
        <v>59</v>
      </c>
      <c r="C58" s="65">
        <f t="shared" si="0"/>
        <v>1.1160665558061658</v>
      </c>
      <c r="D58" s="23"/>
    </row>
    <row r="59" spans="1:4">
      <c r="A59" s="24"/>
      <c r="B59" s="63">
        <v>60</v>
      </c>
      <c r="C59" s="65">
        <f t="shared" si="0"/>
        <v>1.1241194296905372</v>
      </c>
      <c r="D59" s="23"/>
    </row>
    <row r="60" spans="1:4">
      <c r="A60" s="25"/>
      <c r="B60" s="63">
        <v>61</v>
      </c>
      <c r="C60" s="65">
        <f t="shared" si="0"/>
        <v>1.1318907901562738</v>
      </c>
      <c r="D60" s="23"/>
    </row>
    <row r="61" spans="1:4">
      <c r="A61" s="24"/>
      <c r="B61" s="63">
        <v>62</v>
      </c>
      <c r="C61" s="65">
        <f t="shared" si="0"/>
        <v>1.1393022344862935</v>
      </c>
      <c r="D61" s="23"/>
    </row>
    <row r="62" spans="1:4">
      <c r="A62" s="25"/>
      <c r="B62" s="63">
        <v>63</v>
      </c>
      <c r="C62" s="65">
        <f t="shared" si="0"/>
        <v>1.146273791137286</v>
      </c>
      <c r="D62" s="23"/>
    </row>
    <row r="63" spans="1:4">
      <c r="A63" s="24"/>
      <c r="B63" s="63">
        <v>64</v>
      </c>
      <c r="C63" s="65">
        <f t="shared" si="0"/>
        <v>1.1527241877903287</v>
      </c>
      <c r="D63" s="23"/>
    </row>
    <row r="64" spans="1:4">
      <c r="A64" s="25"/>
      <c r="B64" s="63">
        <v>65</v>
      </c>
      <c r="C64" s="65">
        <f t="shared" si="0"/>
        <v>1.1585711747608862</v>
      </c>
      <c r="D64" s="23"/>
    </row>
    <row r="65" spans="1:4">
      <c r="A65" s="24"/>
      <c r="B65" s="63">
        <v>66</v>
      </c>
      <c r="C65" s="65">
        <f t="shared" si="0"/>
        <v>1.1637319042830545</v>
      </c>
      <c r="D65" s="23"/>
    </row>
    <row r="66" spans="1:4">
      <c r="A66" s="25"/>
      <c r="B66" s="63">
        <v>67</v>
      </c>
      <c r="C66" s="65">
        <f t="shared" si="0"/>
        <v>1.1681233655282988</v>
      </c>
      <c r="D66" s="23"/>
    </row>
    <row r="67" spans="1:4">
      <c r="A67" s="24"/>
      <c r="B67" s="63">
        <v>68</v>
      </c>
      <c r="C67" s="65">
        <f t="shared" si="0"/>
        <v>1.1716628744628925</v>
      </c>
      <c r="D67" s="23"/>
    </row>
    <row r="68" spans="1:4">
      <c r="A68" s="25"/>
      <c r="B68" s="63">
        <v>69</v>
      </c>
      <c r="C68" s="65">
        <f t="shared" si="0"/>
        <v>1.1742686167951844</v>
      </c>
      <c r="D68" s="23"/>
    </row>
    <row r="69" spans="1:4">
      <c r="A69" s="24"/>
      <c r="B69" s="64" t="s">
        <v>108</v>
      </c>
      <c r="C69" s="66">
        <f>EXP(1.422)*EXP($D$7*70)*EXP($D$8*(70)^2)*EXP($D$9*(70)^(3))</f>
        <v>1.1758602413209998</v>
      </c>
      <c r="D69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M22"/>
  <sheetViews>
    <sheetView topLeftCell="D1" workbookViewId="0">
      <selection activeCell="M7" sqref="M7"/>
    </sheetView>
  </sheetViews>
  <sheetFormatPr baseColWidth="10" defaultColWidth="8.83203125" defaultRowHeight="15"/>
  <cols>
    <col min="2" max="2" width="27.1640625" bestFit="1" customWidth="1"/>
    <col min="3" max="3" width="9.6640625" bestFit="1" customWidth="1"/>
    <col min="7" max="7" width="27.1640625" bestFit="1" customWidth="1"/>
    <col min="8" max="8" width="10.6640625" bestFit="1" customWidth="1"/>
    <col min="12" max="12" width="27.1640625" bestFit="1" customWidth="1"/>
    <col min="13" max="13" width="9.6640625" bestFit="1" customWidth="1"/>
  </cols>
  <sheetData>
    <row r="1" spans="2:13">
      <c r="B1" s="1" t="s">
        <v>49</v>
      </c>
      <c r="G1" s="1" t="s">
        <v>54</v>
      </c>
      <c r="L1" s="26" t="s">
        <v>91</v>
      </c>
    </row>
    <row r="3" spans="2:13">
      <c r="B3" t="s">
        <v>88</v>
      </c>
      <c r="C3" s="17">
        <v>42078</v>
      </c>
      <c r="G3" t="s">
        <v>88</v>
      </c>
      <c r="H3" s="17">
        <v>43406</v>
      </c>
      <c r="L3" t="s">
        <v>88</v>
      </c>
      <c r="M3" s="18">
        <v>43314</v>
      </c>
    </row>
    <row r="4" spans="2:13">
      <c r="B4" t="s">
        <v>86</v>
      </c>
      <c r="C4" s="17">
        <v>42089</v>
      </c>
      <c r="G4" t="s">
        <v>86</v>
      </c>
      <c r="H4" s="17">
        <v>43414</v>
      </c>
      <c r="L4" t="s">
        <v>86</v>
      </c>
      <c r="M4" s="18">
        <v>43316</v>
      </c>
    </row>
    <row r="5" spans="2:13">
      <c r="B5" t="s">
        <v>87</v>
      </c>
      <c r="C5" s="17">
        <v>43185</v>
      </c>
      <c r="G5" t="s">
        <v>87</v>
      </c>
      <c r="H5" s="17">
        <v>43414</v>
      </c>
      <c r="L5" t="s">
        <v>87</v>
      </c>
      <c r="M5" s="18">
        <v>43316</v>
      </c>
    </row>
    <row r="6" spans="2:13">
      <c r="B6" t="s">
        <v>43</v>
      </c>
      <c r="C6" s="3" t="s">
        <v>7</v>
      </c>
      <c r="G6" t="s">
        <v>43</v>
      </c>
      <c r="H6" s="3" t="s">
        <v>9</v>
      </c>
      <c r="L6" t="s">
        <v>43</v>
      </c>
      <c r="M6" s="3" t="s">
        <v>6</v>
      </c>
    </row>
    <row r="7" spans="2:13">
      <c r="B7" t="s">
        <v>44</v>
      </c>
      <c r="C7">
        <v>50</v>
      </c>
      <c r="G7" t="s">
        <v>44</v>
      </c>
      <c r="H7">
        <v>500</v>
      </c>
      <c r="L7" t="s">
        <v>44</v>
      </c>
      <c r="M7" s="3">
        <v>50</v>
      </c>
    </row>
    <row r="8" spans="2:13">
      <c r="M8" s="3"/>
    </row>
    <row r="9" spans="2:13">
      <c r="C9" t="s">
        <v>50</v>
      </c>
      <c r="D9" t="s">
        <v>51</v>
      </c>
      <c r="H9" t="s">
        <v>50</v>
      </c>
      <c r="I9" t="s">
        <v>51</v>
      </c>
      <c r="J9" t="s">
        <v>58</v>
      </c>
      <c r="M9" s="11" t="s">
        <v>50</v>
      </c>
    </row>
    <row r="10" spans="2:13">
      <c r="B10" t="s">
        <v>16</v>
      </c>
      <c r="C10">
        <v>35</v>
      </c>
      <c r="D10">
        <v>3</v>
      </c>
      <c r="G10" t="s">
        <v>16</v>
      </c>
      <c r="H10">
        <v>28</v>
      </c>
      <c r="I10">
        <v>27</v>
      </c>
      <c r="J10">
        <v>5</v>
      </c>
      <c r="L10" t="s">
        <v>16</v>
      </c>
      <c r="M10" s="3">
        <v>10</v>
      </c>
    </row>
    <row r="11" spans="2:13">
      <c r="B11" t="s">
        <v>56</v>
      </c>
      <c r="C11">
        <v>51</v>
      </c>
      <c r="D11">
        <v>19</v>
      </c>
      <c r="G11" t="s">
        <v>56</v>
      </c>
      <c r="H11">
        <v>46</v>
      </c>
      <c r="I11">
        <v>45</v>
      </c>
      <c r="J11">
        <v>21</v>
      </c>
      <c r="L11" t="s">
        <v>56</v>
      </c>
      <c r="M11" s="3">
        <v>32</v>
      </c>
    </row>
    <row r="12" spans="2:13">
      <c r="B12" t="s">
        <v>17</v>
      </c>
      <c r="C12">
        <v>0</v>
      </c>
      <c r="D12">
        <v>1</v>
      </c>
      <c r="G12" t="s">
        <v>17</v>
      </c>
      <c r="H12">
        <v>0</v>
      </c>
      <c r="I12">
        <v>5</v>
      </c>
      <c r="J12">
        <v>0</v>
      </c>
      <c r="L12" t="s">
        <v>17</v>
      </c>
      <c r="M12" s="3">
        <v>0</v>
      </c>
    </row>
    <row r="13" spans="2:13">
      <c r="M13" s="3"/>
    </row>
    <row r="14" spans="2:13">
      <c r="C14" t="s">
        <v>52</v>
      </c>
      <c r="D14" t="s">
        <v>53</v>
      </c>
      <c r="E14" t="s">
        <v>57</v>
      </c>
      <c r="H14" t="s">
        <v>52</v>
      </c>
      <c r="I14" t="s">
        <v>53</v>
      </c>
      <c r="M14" s="11" t="s">
        <v>52</v>
      </c>
    </row>
    <row r="15" spans="2:13">
      <c r="B15" t="s">
        <v>45</v>
      </c>
      <c r="C15" s="3">
        <v>250</v>
      </c>
      <c r="D15" s="3" t="s">
        <v>30</v>
      </c>
      <c r="E15" s="3">
        <v>500</v>
      </c>
      <c r="G15" t="s">
        <v>45</v>
      </c>
      <c r="H15" s="3">
        <v>100</v>
      </c>
      <c r="I15" s="3">
        <v>250</v>
      </c>
      <c r="L15" t="s">
        <v>45</v>
      </c>
      <c r="M15" s="3">
        <v>100</v>
      </c>
    </row>
    <row r="16" spans="2:13">
      <c r="B16" t="s">
        <v>46</v>
      </c>
      <c r="C16" s="3">
        <v>500</v>
      </c>
      <c r="D16" s="3" t="s">
        <v>30</v>
      </c>
      <c r="E16" s="3">
        <v>500</v>
      </c>
      <c r="G16" t="s">
        <v>46</v>
      </c>
      <c r="H16" s="3">
        <v>100</v>
      </c>
      <c r="I16" s="3">
        <v>500</v>
      </c>
      <c r="L16" t="s">
        <v>46</v>
      </c>
      <c r="M16" s="3">
        <v>500</v>
      </c>
    </row>
    <row r="17" spans="2:13">
      <c r="B17" t="s">
        <v>26</v>
      </c>
      <c r="C17" s="3">
        <v>2014</v>
      </c>
      <c r="D17" s="3">
        <v>1998</v>
      </c>
      <c r="E17" s="3">
        <v>2017</v>
      </c>
      <c r="G17" t="s">
        <v>26</v>
      </c>
      <c r="H17" s="3">
        <v>2018</v>
      </c>
      <c r="I17" s="3">
        <v>2000</v>
      </c>
      <c r="L17" t="s">
        <v>26</v>
      </c>
      <c r="M17" s="3">
        <v>2016</v>
      </c>
    </row>
    <row r="18" spans="2:13">
      <c r="B18" t="s">
        <v>27</v>
      </c>
      <c r="C18" s="3" t="s">
        <v>40</v>
      </c>
      <c r="D18" s="3" t="s">
        <v>37</v>
      </c>
      <c r="E18" s="3" t="s">
        <v>41</v>
      </c>
      <c r="G18" t="s">
        <v>27</v>
      </c>
      <c r="H18" s="3" t="s">
        <v>42</v>
      </c>
      <c r="I18" s="3" t="s">
        <v>38</v>
      </c>
      <c r="L18" t="s">
        <v>27</v>
      </c>
      <c r="M18" s="3" t="s">
        <v>39</v>
      </c>
    </row>
    <row r="19" spans="2:13">
      <c r="B19" t="s">
        <v>55</v>
      </c>
      <c r="C19" s="3" t="s">
        <v>50</v>
      </c>
      <c r="D19" s="3" t="s">
        <v>51</v>
      </c>
      <c r="E19" s="3" t="s">
        <v>50</v>
      </c>
      <c r="G19" t="s">
        <v>55</v>
      </c>
      <c r="H19" s="3" t="s">
        <v>50</v>
      </c>
      <c r="I19" s="3" t="s">
        <v>58</v>
      </c>
      <c r="L19" t="s">
        <v>55</v>
      </c>
      <c r="M19" s="3" t="s">
        <v>50</v>
      </c>
    </row>
    <row r="20" spans="2:13">
      <c r="M20" s="3"/>
    </row>
    <row r="22" spans="2:13">
      <c r="B22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U74"/>
  <sheetViews>
    <sheetView topLeftCell="B1" workbookViewId="0">
      <selection activeCell="L24" sqref="L24"/>
    </sheetView>
  </sheetViews>
  <sheetFormatPr baseColWidth="10" defaultColWidth="9.1640625" defaultRowHeight="15"/>
  <cols>
    <col min="1" max="1" width="8.83203125" style="4" customWidth="1"/>
    <col min="2" max="2" width="26.83203125" style="4" customWidth="1"/>
    <col min="3" max="3" width="17.1640625" style="4" customWidth="1"/>
    <col min="4" max="4" width="9.1640625" style="4"/>
    <col min="5" max="5" width="10.5" style="4" customWidth="1"/>
    <col min="6" max="9" width="9.1640625" style="4"/>
    <col min="10" max="10" width="25.5" style="4" bestFit="1" customWidth="1"/>
    <col min="11" max="16" width="9.1640625" style="4"/>
    <col min="17" max="17" width="16.5" style="4" customWidth="1"/>
    <col min="18" max="16384" width="9.1640625" style="4"/>
  </cols>
  <sheetData>
    <row r="2" spans="2:21">
      <c r="B2" s="20" t="s">
        <v>4</v>
      </c>
      <c r="C2" s="28" t="s">
        <v>0</v>
      </c>
      <c r="D2" s="28" t="s">
        <v>1</v>
      </c>
      <c r="E2" s="28" t="s">
        <v>2</v>
      </c>
      <c r="F2" s="29" t="s">
        <v>3</v>
      </c>
      <c r="J2" s="20" t="s">
        <v>16</v>
      </c>
      <c r="K2" s="28" t="s">
        <v>0</v>
      </c>
      <c r="L2" s="28" t="s">
        <v>1</v>
      </c>
      <c r="M2" s="28" t="s">
        <v>2</v>
      </c>
      <c r="N2" s="29" t="s">
        <v>3</v>
      </c>
      <c r="Q2" s="20" t="s">
        <v>25</v>
      </c>
      <c r="R2" s="28" t="s">
        <v>2</v>
      </c>
      <c r="S2" s="29" t="s">
        <v>3</v>
      </c>
      <c r="T2" s="16"/>
      <c r="U2" s="16"/>
    </row>
    <row r="3" spans="2:21">
      <c r="B3" s="35"/>
      <c r="C3" s="31">
        <v>120</v>
      </c>
      <c r="D3" s="31">
        <v>150</v>
      </c>
      <c r="E3" s="31">
        <v>210</v>
      </c>
      <c r="F3" s="32">
        <v>340</v>
      </c>
      <c r="I3" s="36"/>
      <c r="J3" s="21">
        <v>0</v>
      </c>
      <c r="K3" s="37">
        <v>1.3</v>
      </c>
      <c r="L3" s="37">
        <v>1.3</v>
      </c>
      <c r="M3" s="37">
        <v>1.3</v>
      </c>
      <c r="N3" s="38">
        <v>1.3</v>
      </c>
      <c r="Q3" s="21">
        <v>100</v>
      </c>
      <c r="R3" s="37">
        <v>1.3</v>
      </c>
      <c r="S3" s="38">
        <v>1.22</v>
      </c>
      <c r="T3" s="16"/>
      <c r="U3" s="16"/>
    </row>
    <row r="4" spans="2:21">
      <c r="I4" s="36"/>
      <c r="J4" s="21">
        <v>1</v>
      </c>
      <c r="K4" s="37">
        <v>1.1499999999999999</v>
      </c>
      <c r="L4" s="37">
        <v>1.1499999999999999</v>
      </c>
      <c r="M4" s="37">
        <v>1.1499999999999999</v>
      </c>
      <c r="N4" s="38">
        <v>1.1499999999999999</v>
      </c>
      <c r="Q4" s="21">
        <v>250</v>
      </c>
      <c r="R4" s="37">
        <v>1</v>
      </c>
      <c r="S4" s="38">
        <v>1</v>
      </c>
      <c r="T4" s="16"/>
      <c r="U4" s="16"/>
    </row>
    <row r="5" spans="2:21">
      <c r="I5" s="36"/>
      <c r="J5" s="21">
        <v>2</v>
      </c>
      <c r="K5" s="37">
        <v>1.06</v>
      </c>
      <c r="L5" s="37">
        <v>1.06</v>
      </c>
      <c r="M5" s="37">
        <v>1.06</v>
      </c>
      <c r="N5" s="38">
        <v>1.06</v>
      </c>
      <c r="Q5" s="21">
        <v>500</v>
      </c>
      <c r="R5" s="37">
        <v>0.79</v>
      </c>
      <c r="S5" s="38">
        <v>0.84</v>
      </c>
      <c r="T5" s="16"/>
      <c r="U5" s="16"/>
    </row>
    <row r="6" spans="2:21">
      <c r="B6" s="20" t="s">
        <v>19</v>
      </c>
      <c r="C6" s="28"/>
      <c r="D6" s="28"/>
      <c r="E6" s="28"/>
      <c r="F6" s="29"/>
      <c r="I6" s="36"/>
      <c r="J6" s="39" t="s">
        <v>15</v>
      </c>
      <c r="K6" s="40">
        <v>1</v>
      </c>
      <c r="L6" s="40">
        <v>1</v>
      </c>
      <c r="M6" s="40">
        <v>1</v>
      </c>
      <c r="N6" s="41">
        <v>1</v>
      </c>
      <c r="Q6" s="35">
        <v>1000</v>
      </c>
      <c r="R6" s="40">
        <v>0.65</v>
      </c>
      <c r="S6" s="41">
        <v>0.72</v>
      </c>
      <c r="T6" s="16"/>
      <c r="U6" s="16"/>
    </row>
    <row r="7" spans="2:21">
      <c r="B7" s="21" t="s">
        <v>12</v>
      </c>
      <c r="C7" s="16"/>
      <c r="D7" s="16"/>
      <c r="E7" s="16" t="s">
        <v>1</v>
      </c>
      <c r="F7" s="30"/>
    </row>
    <row r="8" spans="2:21">
      <c r="B8" s="21" t="s">
        <v>11</v>
      </c>
      <c r="C8" s="16" t="s">
        <v>10</v>
      </c>
      <c r="D8" s="16"/>
      <c r="E8" s="16" t="s">
        <v>11</v>
      </c>
      <c r="F8" s="30" t="s">
        <v>10</v>
      </c>
    </row>
    <row r="9" spans="2:21">
      <c r="B9" s="42" t="s">
        <v>5</v>
      </c>
      <c r="C9" s="37">
        <v>1</v>
      </c>
      <c r="D9" s="16"/>
      <c r="E9" s="16">
        <v>25</v>
      </c>
      <c r="F9" s="38">
        <v>1</v>
      </c>
      <c r="J9" s="20" t="s">
        <v>17</v>
      </c>
      <c r="K9" s="28" t="s">
        <v>0</v>
      </c>
      <c r="L9" s="28" t="s">
        <v>1</v>
      </c>
      <c r="M9" s="28" t="s">
        <v>2</v>
      </c>
      <c r="N9" s="29" t="s">
        <v>3</v>
      </c>
      <c r="Q9" s="20" t="s">
        <v>26</v>
      </c>
      <c r="R9" s="28" t="s">
        <v>0</v>
      </c>
      <c r="S9" s="28" t="s">
        <v>1</v>
      </c>
      <c r="T9" s="28" t="s">
        <v>2</v>
      </c>
      <c r="U9" s="29" t="s">
        <v>3</v>
      </c>
    </row>
    <row r="10" spans="2:21">
      <c r="B10" s="42" t="s">
        <v>6</v>
      </c>
      <c r="C10" s="37">
        <v>1.153</v>
      </c>
      <c r="D10" s="16"/>
      <c r="E10" s="16">
        <v>50</v>
      </c>
      <c r="F10" s="38">
        <v>1.0580000000000001</v>
      </c>
      <c r="I10" s="36"/>
      <c r="J10" s="21">
        <v>0</v>
      </c>
      <c r="K10" s="37">
        <v>1</v>
      </c>
      <c r="L10" s="37">
        <v>1</v>
      </c>
      <c r="M10" s="37">
        <v>1</v>
      </c>
      <c r="N10" s="38">
        <v>1</v>
      </c>
      <c r="P10" s="43"/>
      <c r="Q10" s="21" t="s">
        <v>31</v>
      </c>
      <c r="R10" s="37">
        <v>1</v>
      </c>
      <c r="S10" s="37">
        <v>1</v>
      </c>
      <c r="T10" s="37">
        <v>0.79800000000000004</v>
      </c>
      <c r="U10" s="38">
        <v>0.64200000000000002</v>
      </c>
    </row>
    <row r="11" spans="2:21">
      <c r="B11" s="42" t="s">
        <v>7</v>
      </c>
      <c r="C11" s="37">
        <v>1.276</v>
      </c>
      <c r="D11" s="16"/>
      <c r="E11" s="16">
        <v>100</v>
      </c>
      <c r="F11" s="38">
        <v>1.127</v>
      </c>
      <c r="H11" s="34"/>
      <c r="I11" s="36"/>
      <c r="J11" s="21">
        <v>1</v>
      </c>
      <c r="K11" s="37">
        <v>1.17</v>
      </c>
      <c r="L11" s="37">
        <v>1.17</v>
      </c>
      <c r="M11" s="37">
        <v>1.1200000000000001</v>
      </c>
      <c r="N11" s="38">
        <v>1.21</v>
      </c>
      <c r="P11" s="43"/>
      <c r="Q11" s="21" t="s">
        <v>32</v>
      </c>
      <c r="R11" s="37">
        <v>1</v>
      </c>
      <c r="S11" s="37">
        <v>1</v>
      </c>
      <c r="T11" s="37">
        <v>0.874</v>
      </c>
      <c r="U11" s="38">
        <v>0.75</v>
      </c>
    </row>
    <row r="12" spans="2:21">
      <c r="B12" s="42" t="s">
        <v>9</v>
      </c>
      <c r="C12" s="37">
        <v>1.589</v>
      </c>
      <c r="D12" s="16"/>
      <c r="E12" s="16">
        <v>500</v>
      </c>
      <c r="F12" s="38">
        <v>1.286</v>
      </c>
      <c r="I12" s="36"/>
      <c r="J12" s="21">
        <v>2</v>
      </c>
      <c r="K12" s="37">
        <v>1.38</v>
      </c>
      <c r="L12" s="37">
        <v>1.38</v>
      </c>
      <c r="M12" s="37">
        <v>1.25</v>
      </c>
      <c r="N12" s="38">
        <v>1.46</v>
      </c>
      <c r="P12" s="36"/>
      <c r="Q12" s="21" t="s">
        <v>33</v>
      </c>
      <c r="R12" s="37">
        <v>1</v>
      </c>
      <c r="S12" s="37">
        <v>1</v>
      </c>
      <c r="T12" s="37">
        <v>0.93</v>
      </c>
      <c r="U12" s="38">
        <v>0.89200000000000002</v>
      </c>
    </row>
    <row r="13" spans="2:21">
      <c r="B13" s="44" t="s">
        <v>8</v>
      </c>
      <c r="C13" s="40">
        <v>2.093</v>
      </c>
      <c r="D13" s="31"/>
      <c r="E13" s="31">
        <v>1000</v>
      </c>
      <c r="F13" s="41">
        <v>1.4330000000000001</v>
      </c>
      <c r="I13" s="36"/>
      <c r="J13" s="45">
        <v>3</v>
      </c>
      <c r="K13" s="37">
        <v>1.5</v>
      </c>
      <c r="L13" s="37">
        <v>1.5</v>
      </c>
      <c r="M13" s="37">
        <v>1.33</v>
      </c>
      <c r="N13" s="38">
        <v>1.68</v>
      </c>
      <c r="P13" s="36"/>
      <c r="Q13" s="21" t="s">
        <v>34</v>
      </c>
      <c r="R13" s="37">
        <v>1.04</v>
      </c>
      <c r="S13" s="37">
        <v>1.05</v>
      </c>
      <c r="T13" s="37">
        <v>1</v>
      </c>
      <c r="U13" s="38">
        <v>1</v>
      </c>
    </row>
    <row r="14" spans="2:21">
      <c r="J14" s="21"/>
      <c r="K14" s="16"/>
      <c r="L14" s="16"/>
      <c r="M14" s="16"/>
      <c r="N14" s="30"/>
      <c r="P14" s="36"/>
      <c r="Q14" s="21" t="s">
        <v>35</v>
      </c>
      <c r="R14" s="37">
        <v>1.04</v>
      </c>
      <c r="S14" s="37">
        <v>1.05</v>
      </c>
      <c r="T14" s="37">
        <v>1.1759999999999999</v>
      </c>
      <c r="U14" s="38">
        <v>1.2669999999999999</v>
      </c>
    </row>
    <row r="15" spans="2:21">
      <c r="J15" s="170" t="s">
        <v>78</v>
      </c>
      <c r="K15" s="46">
        <v>0.2</v>
      </c>
      <c r="L15" s="46">
        <v>0.2</v>
      </c>
      <c r="M15" s="46">
        <v>0.15</v>
      </c>
      <c r="N15" s="47">
        <v>0.25</v>
      </c>
      <c r="P15" s="36"/>
      <c r="Q15" s="35" t="s">
        <v>74</v>
      </c>
      <c r="R15" s="40">
        <v>1.04</v>
      </c>
      <c r="S15" s="40">
        <v>1.05</v>
      </c>
      <c r="T15" s="40">
        <v>1.248</v>
      </c>
      <c r="U15" s="41">
        <v>1.373</v>
      </c>
    </row>
    <row r="16" spans="2:21">
      <c r="B16" s="20" t="s">
        <v>21</v>
      </c>
      <c r="C16" s="28"/>
      <c r="D16" s="28"/>
      <c r="E16" s="28"/>
      <c r="F16" s="28"/>
      <c r="G16" s="29"/>
      <c r="J16" s="171"/>
      <c r="K16" s="48"/>
      <c r="L16" s="48"/>
      <c r="M16" s="48"/>
      <c r="N16" s="49"/>
    </row>
    <row r="17" spans="1:21">
      <c r="B17" s="21" t="s">
        <v>13</v>
      </c>
      <c r="C17" s="16" t="s">
        <v>14</v>
      </c>
      <c r="D17" s="16" t="s">
        <v>0</v>
      </c>
      <c r="E17" s="16" t="s">
        <v>1</v>
      </c>
      <c r="F17" s="16" t="s">
        <v>2</v>
      </c>
      <c r="G17" s="30" t="s">
        <v>3</v>
      </c>
    </row>
    <row r="18" spans="1:21">
      <c r="A18" s="43"/>
      <c r="B18" s="45">
        <v>1</v>
      </c>
      <c r="C18" s="50">
        <v>1</v>
      </c>
      <c r="D18" s="37">
        <v>1.03</v>
      </c>
      <c r="E18" s="37">
        <v>1.03</v>
      </c>
      <c r="F18" s="37">
        <v>0.95</v>
      </c>
      <c r="G18" s="38">
        <v>1</v>
      </c>
      <c r="H18" s="34"/>
      <c r="Q18" s="20" t="s">
        <v>27</v>
      </c>
      <c r="R18" s="28" t="s">
        <v>0</v>
      </c>
      <c r="S18" s="28" t="s">
        <v>1</v>
      </c>
      <c r="T18" s="28" t="s">
        <v>2</v>
      </c>
      <c r="U18" s="29" t="s">
        <v>3</v>
      </c>
    </row>
    <row r="19" spans="1:21">
      <c r="A19" s="43"/>
      <c r="B19" s="45">
        <v>1</v>
      </c>
      <c r="C19" s="50">
        <v>2</v>
      </c>
      <c r="D19" s="37">
        <v>1.17</v>
      </c>
      <c r="E19" s="37">
        <v>1.17</v>
      </c>
      <c r="F19" s="37">
        <v>0.95</v>
      </c>
      <c r="G19" s="38">
        <v>1.25</v>
      </c>
      <c r="H19" s="34"/>
      <c r="I19" s="34"/>
      <c r="J19" s="20" t="s">
        <v>56</v>
      </c>
      <c r="K19" s="28" t="s">
        <v>0</v>
      </c>
      <c r="L19" s="28" t="s">
        <v>1</v>
      </c>
      <c r="M19" s="28" t="s">
        <v>2</v>
      </c>
      <c r="N19" s="29" t="s">
        <v>3</v>
      </c>
      <c r="Q19" s="21" t="s">
        <v>36</v>
      </c>
      <c r="R19" s="37">
        <v>0.93</v>
      </c>
      <c r="S19" s="37">
        <v>0.93</v>
      </c>
      <c r="T19" s="37">
        <v>0.89</v>
      </c>
      <c r="U19" s="38">
        <v>0.78</v>
      </c>
    </row>
    <row r="20" spans="1:21">
      <c r="A20" s="43"/>
      <c r="B20" s="45">
        <v>1</v>
      </c>
      <c r="C20" s="50" t="s">
        <v>15</v>
      </c>
      <c r="D20" s="37">
        <v>1.35</v>
      </c>
      <c r="E20" s="37">
        <v>1.35</v>
      </c>
      <c r="F20" s="37">
        <v>0.95</v>
      </c>
      <c r="G20" s="38">
        <v>1.46</v>
      </c>
      <c r="H20" s="34"/>
      <c r="I20" s="51"/>
      <c r="J20" s="45">
        <v>16</v>
      </c>
      <c r="K20" s="52">
        <f>AgeFactor(J20)</f>
        <v>1.5080719791824519</v>
      </c>
      <c r="L20" s="52">
        <f>AgeFactor(J20)</f>
        <v>1.5080719791824519</v>
      </c>
      <c r="M20" s="52">
        <f>AgeFactor(J20)</f>
        <v>1.5080719791824519</v>
      </c>
      <c r="N20" s="53">
        <f>AgeFactor(J20)</f>
        <v>1.5080719791824519</v>
      </c>
      <c r="Q20" s="21" t="s">
        <v>37</v>
      </c>
      <c r="R20" s="37">
        <v>1</v>
      </c>
      <c r="S20" s="37">
        <v>1</v>
      </c>
      <c r="T20" s="37">
        <v>0.92</v>
      </c>
      <c r="U20" s="38">
        <v>0.85</v>
      </c>
    </row>
    <row r="21" spans="1:21">
      <c r="A21" s="43"/>
      <c r="B21" s="45">
        <v>2</v>
      </c>
      <c r="C21" s="50">
        <v>1</v>
      </c>
      <c r="D21" s="37">
        <v>0.92</v>
      </c>
      <c r="E21" s="37">
        <v>0.92</v>
      </c>
      <c r="F21" s="37">
        <v>1</v>
      </c>
      <c r="G21" s="38">
        <v>1</v>
      </c>
      <c r="H21" s="34"/>
      <c r="I21" s="25"/>
      <c r="J21" s="45">
        <v>17</v>
      </c>
      <c r="K21" s="52">
        <f t="shared" ref="K21:K74" si="0">AgeFactor(J21)</f>
        <v>1.4496519599491975</v>
      </c>
      <c r="L21" s="52">
        <f t="shared" ref="L21:L74" si="1">AgeFactor(J21)</f>
        <v>1.4496519599491975</v>
      </c>
      <c r="M21" s="52">
        <f t="shared" ref="M21:M74" si="2">AgeFactor(J21)</f>
        <v>1.4496519599491975</v>
      </c>
      <c r="N21" s="53">
        <f t="shared" ref="N21:N74" si="3">AgeFactor(J21)</f>
        <v>1.4496519599491975</v>
      </c>
      <c r="Q21" s="21" t="s">
        <v>38</v>
      </c>
      <c r="R21" s="37">
        <v>0.97</v>
      </c>
      <c r="S21" s="37">
        <v>0.98</v>
      </c>
      <c r="T21" s="37">
        <v>0.95</v>
      </c>
      <c r="U21" s="38">
        <v>0.93</v>
      </c>
    </row>
    <row r="22" spans="1:21">
      <c r="A22" s="43"/>
      <c r="B22" s="45">
        <v>2</v>
      </c>
      <c r="C22" s="50">
        <v>2</v>
      </c>
      <c r="D22" s="37">
        <v>1</v>
      </c>
      <c r="E22" s="37">
        <v>1</v>
      </c>
      <c r="F22" s="37">
        <v>1</v>
      </c>
      <c r="G22" s="38">
        <v>1</v>
      </c>
      <c r="H22" s="34"/>
      <c r="I22" s="51"/>
      <c r="J22" s="45">
        <v>18</v>
      </c>
      <c r="K22" s="52">
        <f t="shared" si="0"/>
        <v>1.3968560042777567</v>
      </c>
      <c r="L22" s="52">
        <f t="shared" si="1"/>
        <v>1.3968560042777567</v>
      </c>
      <c r="M22" s="52">
        <f t="shared" si="2"/>
        <v>1.3968560042777567</v>
      </c>
      <c r="N22" s="53">
        <f t="shared" si="3"/>
        <v>1.3968560042777567</v>
      </c>
      <c r="Q22" s="21" t="s">
        <v>39</v>
      </c>
      <c r="R22" s="37">
        <v>1</v>
      </c>
      <c r="S22" s="37">
        <v>1</v>
      </c>
      <c r="T22" s="37">
        <v>1</v>
      </c>
      <c r="U22" s="38">
        <v>1</v>
      </c>
    </row>
    <row r="23" spans="1:21">
      <c r="A23" s="43"/>
      <c r="B23" s="45">
        <v>2</v>
      </c>
      <c r="C23" s="50" t="s">
        <v>15</v>
      </c>
      <c r="D23" s="37">
        <v>1.1299999999999999</v>
      </c>
      <c r="E23" s="37">
        <v>1.1299999999999999</v>
      </c>
      <c r="F23" s="37">
        <v>1.1000000000000001</v>
      </c>
      <c r="G23" s="38">
        <v>1.21</v>
      </c>
      <c r="H23" s="34"/>
      <c r="I23" s="25"/>
      <c r="J23" s="45">
        <v>19</v>
      </c>
      <c r="K23" s="52">
        <f t="shared" si="0"/>
        <v>1.3491442465341226</v>
      </c>
      <c r="L23" s="52">
        <f t="shared" si="1"/>
        <v>1.3491442465341226</v>
      </c>
      <c r="M23" s="52">
        <f t="shared" si="2"/>
        <v>1.3491442465341226</v>
      </c>
      <c r="N23" s="53">
        <f t="shared" si="3"/>
        <v>1.3491442465341226</v>
      </c>
      <c r="Q23" s="21" t="s">
        <v>40</v>
      </c>
      <c r="R23" s="37">
        <v>1</v>
      </c>
      <c r="S23" s="37">
        <v>1</v>
      </c>
      <c r="T23" s="37">
        <v>1.07</v>
      </c>
      <c r="U23" s="38">
        <v>1.1599999999999999</v>
      </c>
    </row>
    <row r="24" spans="1:21">
      <c r="A24" s="43"/>
      <c r="B24" s="45" t="s">
        <v>15</v>
      </c>
      <c r="C24" s="50">
        <v>1</v>
      </c>
      <c r="D24" s="37">
        <v>0.92</v>
      </c>
      <c r="E24" s="37">
        <v>0.92</v>
      </c>
      <c r="F24" s="37">
        <v>1.2</v>
      </c>
      <c r="G24" s="38">
        <v>0.94</v>
      </c>
      <c r="H24" s="34"/>
      <c r="I24" s="51"/>
      <c r="J24" s="45">
        <v>20</v>
      </c>
      <c r="K24" s="52">
        <f t="shared" si="0"/>
        <v>1.3060404463306545</v>
      </c>
      <c r="L24" s="52">
        <f t="shared" si="1"/>
        <v>1.3060404463306545</v>
      </c>
      <c r="M24" s="52">
        <f t="shared" si="2"/>
        <v>1.3060404463306545</v>
      </c>
      <c r="N24" s="53">
        <f t="shared" si="3"/>
        <v>1.3060404463306545</v>
      </c>
      <c r="Q24" s="21" t="s">
        <v>41</v>
      </c>
      <c r="R24" s="37">
        <v>1.06</v>
      </c>
      <c r="S24" s="37">
        <v>1.05</v>
      </c>
      <c r="T24" s="37">
        <v>1.2</v>
      </c>
      <c r="U24" s="38">
        <v>1.28</v>
      </c>
    </row>
    <row r="25" spans="1:21">
      <c r="A25" s="43"/>
      <c r="B25" s="45" t="s">
        <v>15</v>
      </c>
      <c r="C25" s="50">
        <v>2</v>
      </c>
      <c r="D25" s="37">
        <v>0.92</v>
      </c>
      <c r="E25" s="37">
        <v>0.92</v>
      </c>
      <c r="F25" s="37">
        <v>1.1399999999999999</v>
      </c>
      <c r="G25" s="38">
        <v>0.96</v>
      </c>
      <c r="H25" s="34"/>
      <c r="I25" s="25"/>
      <c r="J25" s="45">
        <v>21</v>
      </c>
      <c r="K25" s="52">
        <f t="shared" si="0"/>
        <v>1.2671236635380843</v>
      </c>
      <c r="L25" s="52">
        <f t="shared" si="1"/>
        <v>1.2671236635380843</v>
      </c>
      <c r="M25" s="52">
        <f t="shared" si="2"/>
        <v>1.2671236635380843</v>
      </c>
      <c r="N25" s="53">
        <f t="shared" si="3"/>
        <v>1.2671236635380843</v>
      </c>
      <c r="Q25" s="35" t="s">
        <v>42</v>
      </c>
      <c r="R25" s="40">
        <v>1.1299999999999999</v>
      </c>
      <c r="S25" s="40">
        <v>1.1000000000000001</v>
      </c>
      <c r="T25" s="40">
        <v>1.35</v>
      </c>
      <c r="U25" s="41">
        <v>1.45</v>
      </c>
    </row>
    <row r="26" spans="1:21">
      <c r="A26" s="43"/>
      <c r="B26" s="39" t="s">
        <v>15</v>
      </c>
      <c r="C26" s="54" t="s">
        <v>15</v>
      </c>
      <c r="D26" s="40">
        <v>1</v>
      </c>
      <c r="E26" s="40">
        <v>1</v>
      </c>
      <c r="F26" s="40">
        <v>1</v>
      </c>
      <c r="G26" s="41">
        <v>1</v>
      </c>
      <c r="H26" s="34"/>
      <c r="I26" s="51"/>
      <c r="J26" s="45">
        <v>22</v>
      </c>
      <c r="K26" s="52">
        <f t="shared" si="0"/>
        <v>1.2320211103637053</v>
      </c>
      <c r="L26" s="52">
        <f t="shared" si="1"/>
        <v>1.2320211103637053</v>
      </c>
      <c r="M26" s="52">
        <f t="shared" si="2"/>
        <v>1.2320211103637053</v>
      </c>
      <c r="N26" s="53">
        <f t="shared" si="3"/>
        <v>1.2320211103637053</v>
      </c>
    </row>
    <row r="27" spans="1:21">
      <c r="A27" s="43"/>
      <c r="B27" s="7"/>
      <c r="C27" s="7"/>
      <c r="D27" s="34"/>
      <c r="E27" s="34"/>
      <c r="F27" s="34"/>
      <c r="G27" s="34"/>
      <c r="H27" s="34"/>
      <c r="I27" s="25"/>
      <c r="J27" s="45">
        <v>23</v>
      </c>
      <c r="K27" s="52">
        <f t="shared" si="0"/>
        <v>1.2004019991669412</v>
      </c>
      <c r="L27" s="52">
        <f t="shared" si="1"/>
        <v>1.2004019991669412</v>
      </c>
      <c r="M27" s="52">
        <f t="shared" si="2"/>
        <v>1.2004019991669412</v>
      </c>
      <c r="N27" s="53">
        <f t="shared" si="3"/>
        <v>1.2004019991669412</v>
      </c>
    </row>
    <row r="28" spans="1:21">
      <c r="I28" s="51"/>
      <c r="J28" s="45">
        <v>24</v>
      </c>
      <c r="K28" s="52">
        <f t="shared" si="0"/>
        <v>1.1719722342954519</v>
      </c>
      <c r="L28" s="52">
        <f t="shared" si="1"/>
        <v>1.1719722342954519</v>
      </c>
      <c r="M28" s="52">
        <f t="shared" si="2"/>
        <v>1.1719722342954519</v>
      </c>
      <c r="N28" s="53">
        <f t="shared" si="3"/>
        <v>1.1719722342954519</v>
      </c>
      <c r="Q28" s="20" t="s">
        <v>84</v>
      </c>
      <c r="R28" s="28"/>
      <c r="S28" s="28"/>
      <c r="T28" s="28"/>
      <c r="U28" s="29"/>
    </row>
    <row r="29" spans="1:21">
      <c r="B29" s="55" t="s">
        <v>79</v>
      </c>
      <c r="C29" s="28" t="s">
        <v>113</v>
      </c>
      <c r="D29" s="28"/>
      <c r="E29" s="28"/>
      <c r="F29" s="29"/>
      <c r="I29" s="25"/>
      <c r="J29" s="45">
        <v>25</v>
      </c>
      <c r="K29" s="52">
        <f t="shared" si="0"/>
        <v>1.1464698207156212</v>
      </c>
      <c r="L29" s="52">
        <f t="shared" si="1"/>
        <v>1.1464698207156212</v>
      </c>
      <c r="M29" s="52">
        <f t="shared" si="2"/>
        <v>1.1464698207156212</v>
      </c>
      <c r="N29" s="53">
        <f t="shared" si="3"/>
        <v>1.1464698207156212</v>
      </c>
      <c r="Q29" s="21" t="s">
        <v>89</v>
      </c>
      <c r="R29" s="16" t="s">
        <v>0</v>
      </c>
      <c r="S29" s="16" t="s">
        <v>1</v>
      </c>
      <c r="T29" s="16" t="s">
        <v>2</v>
      </c>
      <c r="U29" s="30" t="s">
        <v>3</v>
      </c>
    </row>
    <row r="30" spans="1:21">
      <c r="B30" s="170" t="s">
        <v>83</v>
      </c>
      <c r="C30" s="172" t="s">
        <v>0</v>
      </c>
      <c r="D30" s="172" t="s">
        <v>1</v>
      </c>
      <c r="E30" s="172" t="s">
        <v>2</v>
      </c>
      <c r="F30" s="173" t="s">
        <v>3</v>
      </c>
      <c r="I30" s="51"/>
      <c r="J30" s="45">
        <v>26</v>
      </c>
      <c r="K30" s="52">
        <f t="shared" si="0"/>
        <v>1.1236608825132082</v>
      </c>
      <c r="L30" s="52">
        <f t="shared" si="1"/>
        <v>1.1236608825132082</v>
      </c>
      <c r="M30" s="52">
        <f t="shared" si="2"/>
        <v>1.1236608825132082</v>
      </c>
      <c r="N30" s="53">
        <f t="shared" si="3"/>
        <v>1.1236608825132082</v>
      </c>
      <c r="Q30" s="21">
        <v>0</v>
      </c>
      <c r="R30" s="37">
        <v>0.93</v>
      </c>
      <c r="S30" s="37">
        <v>0.92500000000000004</v>
      </c>
      <c r="T30" s="37">
        <v>1</v>
      </c>
      <c r="U30" s="38">
        <v>1</v>
      </c>
    </row>
    <row r="31" spans="1:21">
      <c r="B31" s="170"/>
      <c r="C31" s="172"/>
      <c r="D31" s="172"/>
      <c r="E31" s="172"/>
      <c r="F31" s="173"/>
      <c r="I31" s="25"/>
      <c r="J31" s="45">
        <v>27</v>
      </c>
      <c r="K31" s="52">
        <f t="shared" si="0"/>
        <v>1.1033362012083761</v>
      </c>
      <c r="L31" s="52">
        <f t="shared" si="1"/>
        <v>1.1033362012083761</v>
      </c>
      <c r="M31" s="52">
        <f t="shared" si="2"/>
        <v>1.1033362012083761</v>
      </c>
      <c r="N31" s="53">
        <f t="shared" si="3"/>
        <v>1.1033362012083761</v>
      </c>
      <c r="Q31" s="21">
        <v>1</v>
      </c>
      <c r="R31" s="37">
        <v>0.98</v>
      </c>
      <c r="S31" s="37">
        <v>0.97499999999999998</v>
      </c>
      <c r="T31" s="37">
        <v>1</v>
      </c>
      <c r="U31" s="38">
        <v>1</v>
      </c>
    </row>
    <row r="32" spans="1:21">
      <c r="A32" s="56"/>
      <c r="B32" s="21" t="s">
        <v>82</v>
      </c>
      <c r="C32" s="16">
        <v>0.97</v>
      </c>
      <c r="D32" s="16">
        <v>0.97</v>
      </c>
      <c r="E32" s="16">
        <v>0.97</v>
      </c>
      <c r="F32" s="30">
        <v>0.97</v>
      </c>
      <c r="I32" s="51"/>
      <c r="J32" s="45">
        <v>28</v>
      </c>
      <c r="K32" s="52">
        <f t="shared" si="0"/>
        <v>1.0853081978772527</v>
      </c>
      <c r="L32" s="52">
        <f t="shared" si="1"/>
        <v>1.0853081978772527</v>
      </c>
      <c r="M32" s="52">
        <f t="shared" si="2"/>
        <v>1.0853081978772527</v>
      </c>
      <c r="N32" s="53">
        <f t="shared" si="3"/>
        <v>1.0853081978772527</v>
      </c>
      <c r="Q32" s="39" t="s">
        <v>90</v>
      </c>
      <c r="R32" s="40">
        <v>1</v>
      </c>
      <c r="S32" s="40">
        <v>1</v>
      </c>
      <c r="T32" s="40">
        <v>1</v>
      </c>
      <c r="U32" s="41">
        <v>1</v>
      </c>
    </row>
    <row r="33" spans="1:21">
      <c r="A33" s="56"/>
      <c r="B33" s="21" t="s">
        <v>81</v>
      </c>
      <c r="C33" s="16">
        <v>0.95</v>
      </c>
      <c r="D33" s="16">
        <v>0.95</v>
      </c>
      <c r="E33" s="16">
        <v>0.95</v>
      </c>
      <c r="F33" s="30">
        <v>0.95</v>
      </c>
      <c r="I33" s="25"/>
      <c r="J33" s="45">
        <v>29</v>
      </c>
      <c r="K33" s="52">
        <f t="shared" si="0"/>
        <v>1.0694082947985202</v>
      </c>
      <c r="L33" s="52">
        <f t="shared" si="1"/>
        <v>1.0694082947985202</v>
      </c>
      <c r="M33" s="52">
        <f t="shared" si="2"/>
        <v>1.0694082947985202</v>
      </c>
      <c r="N33" s="53">
        <f t="shared" si="3"/>
        <v>1.0694082947985202</v>
      </c>
    </row>
    <row r="34" spans="1:21">
      <c r="A34" s="56"/>
      <c r="B34" s="35" t="s">
        <v>80</v>
      </c>
      <c r="C34" s="31">
        <v>0.9</v>
      </c>
      <c r="D34" s="31">
        <v>0.9</v>
      </c>
      <c r="E34" s="31">
        <v>0.9</v>
      </c>
      <c r="F34" s="32">
        <v>0.9</v>
      </c>
      <c r="I34" s="51"/>
      <c r="J34" s="45">
        <v>30</v>
      </c>
      <c r="K34" s="52">
        <f t="shared" si="0"/>
        <v>1.0554846021550801</v>
      </c>
      <c r="L34" s="52">
        <f t="shared" si="1"/>
        <v>1.0554846021550801</v>
      </c>
      <c r="M34" s="52">
        <f t="shared" si="2"/>
        <v>1.0554846021550801</v>
      </c>
      <c r="N34" s="53">
        <f t="shared" si="3"/>
        <v>1.0554846021550801</v>
      </c>
    </row>
    <row r="35" spans="1:21">
      <c r="I35" s="25"/>
      <c r="J35" s="45">
        <v>31</v>
      </c>
      <c r="K35" s="52">
        <f t="shared" si="0"/>
        <v>1.0433998835501443</v>
      </c>
      <c r="L35" s="52">
        <f t="shared" si="1"/>
        <v>1.0433998835501443</v>
      </c>
      <c r="M35" s="52">
        <f t="shared" si="2"/>
        <v>1.0433998835501443</v>
      </c>
      <c r="N35" s="53">
        <f t="shared" si="3"/>
        <v>1.0433998835501443</v>
      </c>
      <c r="U35" s="37">
        <v>1</v>
      </c>
    </row>
    <row r="36" spans="1:21">
      <c r="I36" s="51"/>
      <c r="J36" s="45">
        <v>32</v>
      </c>
      <c r="K36" s="52">
        <f t="shared" si="0"/>
        <v>1.0330297610166645</v>
      </c>
      <c r="L36" s="52">
        <f t="shared" si="1"/>
        <v>1.0330297610166645</v>
      </c>
      <c r="M36" s="52">
        <f t="shared" si="2"/>
        <v>1.0330297610166645</v>
      </c>
      <c r="N36" s="53">
        <f t="shared" si="3"/>
        <v>1.0330297610166645</v>
      </c>
    </row>
    <row r="37" spans="1:21">
      <c r="B37" s="20" t="s">
        <v>94</v>
      </c>
      <c r="C37" s="29"/>
      <c r="I37" s="25"/>
      <c r="J37" s="45">
        <v>33</v>
      </c>
      <c r="K37" s="52">
        <f t="shared" si="0"/>
        <v>1.0242611260325476</v>
      </c>
      <c r="L37" s="52">
        <f t="shared" si="1"/>
        <v>1.0242611260325476</v>
      </c>
      <c r="M37" s="52">
        <f t="shared" si="2"/>
        <v>1.0242611260325476</v>
      </c>
      <c r="N37" s="53">
        <f t="shared" si="3"/>
        <v>1.0242611260325476</v>
      </c>
    </row>
    <row r="38" spans="1:21">
      <c r="B38" s="21" t="s">
        <v>95</v>
      </c>
      <c r="C38" s="57">
        <v>30</v>
      </c>
      <c r="I38" s="51"/>
      <c r="J38" s="45">
        <v>34</v>
      </c>
      <c r="K38" s="52">
        <f t="shared" si="0"/>
        <v>1.0169907279857151</v>
      </c>
      <c r="L38" s="52">
        <f t="shared" si="1"/>
        <v>1.0169907279857151</v>
      </c>
      <c r="M38" s="52">
        <f t="shared" si="2"/>
        <v>1.0169907279857151</v>
      </c>
      <c r="N38" s="53">
        <f t="shared" si="3"/>
        <v>1.0169907279857151</v>
      </c>
    </row>
    <row r="39" spans="1:21">
      <c r="B39" s="35" t="s">
        <v>96</v>
      </c>
      <c r="C39" s="58">
        <v>20</v>
      </c>
      <c r="I39" s="25"/>
      <c r="J39" s="45">
        <v>35</v>
      </c>
      <c r="K39" s="52">
        <f t="shared" si="0"/>
        <v>1.0111239157146414</v>
      </c>
      <c r="L39" s="52">
        <f t="shared" si="1"/>
        <v>1.0111239157146414</v>
      </c>
      <c r="M39" s="52">
        <f t="shared" si="2"/>
        <v>1.0111239157146414</v>
      </c>
      <c r="N39" s="53">
        <f t="shared" si="3"/>
        <v>1.0111239157146414</v>
      </c>
    </row>
    <row r="40" spans="1:21">
      <c r="I40" s="51"/>
      <c r="J40" s="45">
        <v>36</v>
      </c>
      <c r="K40" s="52">
        <f t="shared" si="0"/>
        <v>1.006573511307032</v>
      </c>
      <c r="L40" s="52">
        <f t="shared" si="1"/>
        <v>1.006573511307032</v>
      </c>
      <c r="M40" s="52">
        <f t="shared" si="2"/>
        <v>1.006573511307032</v>
      </c>
      <c r="N40" s="53">
        <f t="shared" si="3"/>
        <v>1.006573511307032</v>
      </c>
    </row>
    <row r="41" spans="1:21">
      <c r="I41" s="25"/>
      <c r="J41" s="45">
        <v>37</v>
      </c>
      <c r="K41" s="52">
        <f t="shared" si="0"/>
        <v>1.0032587983756553</v>
      </c>
      <c r="L41" s="52">
        <f t="shared" si="1"/>
        <v>1.0032587983756553</v>
      </c>
      <c r="M41" s="52">
        <f t="shared" si="2"/>
        <v>1.0032587983756553</v>
      </c>
      <c r="N41" s="53">
        <f t="shared" si="3"/>
        <v>1.0032587983756553</v>
      </c>
    </row>
    <row r="42" spans="1:21">
      <c r="I42" s="51"/>
      <c r="J42" s="45">
        <v>38</v>
      </c>
      <c r="K42" s="52">
        <f t="shared" si="0"/>
        <v>1.0011046096323242</v>
      </c>
      <c r="L42" s="52">
        <f t="shared" si="1"/>
        <v>1.0011046096323242</v>
      </c>
      <c r="M42" s="52">
        <f t="shared" si="2"/>
        <v>1.0011046096323242</v>
      </c>
      <c r="N42" s="53">
        <f t="shared" si="3"/>
        <v>1.0011046096323242</v>
      </c>
    </row>
    <row r="43" spans="1:21">
      <c r="I43" s="25"/>
      <c r="J43" s="45">
        <v>39</v>
      </c>
      <c r="K43" s="52">
        <f t="shared" si="0"/>
        <v>1.0000405008201358</v>
      </c>
      <c r="L43" s="52">
        <f t="shared" si="1"/>
        <v>1.0000405008201358</v>
      </c>
      <c r="M43" s="52">
        <f t="shared" si="2"/>
        <v>1.0000405008201358</v>
      </c>
      <c r="N43" s="53">
        <f t="shared" si="3"/>
        <v>1.0000405008201358</v>
      </c>
    </row>
    <row r="44" spans="1:21">
      <c r="I44" s="51"/>
      <c r="J44" s="45">
        <v>40</v>
      </c>
      <c r="K44" s="52">
        <f t="shared" si="0"/>
        <v>1</v>
      </c>
      <c r="L44" s="52">
        <f t="shared" si="1"/>
        <v>1</v>
      </c>
      <c r="M44" s="52">
        <f t="shared" si="2"/>
        <v>1</v>
      </c>
      <c r="N44" s="53">
        <f t="shared" si="3"/>
        <v>1</v>
      </c>
    </row>
    <row r="45" spans="1:21">
      <c r="I45" s="25"/>
      <c r="J45" s="45">
        <v>41</v>
      </c>
      <c r="K45" s="52">
        <f t="shared" si="0"/>
        <v>1.0009199228697245</v>
      </c>
      <c r="L45" s="52">
        <f t="shared" si="1"/>
        <v>1.0009199228697245</v>
      </c>
      <c r="M45" s="52">
        <f t="shared" si="2"/>
        <v>1.0009199228697245</v>
      </c>
      <c r="N45" s="53">
        <f t="shared" si="3"/>
        <v>1.0009199228697245</v>
      </c>
    </row>
    <row r="46" spans="1:21">
      <c r="I46" s="51"/>
      <c r="J46" s="45">
        <v>42</v>
      </c>
      <c r="K46" s="52">
        <f t="shared" si="0"/>
        <v>1.0027397462638135</v>
      </c>
      <c r="L46" s="52">
        <f t="shared" si="1"/>
        <v>1.0027397462638135</v>
      </c>
      <c r="M46" s="52">
        <f t="shared" si="2"/>
        <v>1.0027397462638135</v>
      </c>
      <c r="N46" s="53">
        <f t="shared" si="3"/>
        <v>1.0027397462638135</v>
      </c>
    </row>
    <row r="47" spans="1:21">
      <c r="I47" s="25"/>
      <c r="J47" s="45">
        <v>43</v>
      </c>
      <c r="K47" s="52">
        <f t="shared" si="0"/>
        <v>1.0054010332739012</v>
      </c>
      <c r="L47" s="52">
        <f t="shared" si="1"/>
        <v>1.0054010332739012</v>
      </c>
      <c r="M47" s="52">
        <f t="shared" si="2"/>
        <v>1.0054010332739012</v>
      </c>
      <c r="N47" s="53">
        <f t="shared" si="3"/>
        <v>1.0054010332739012</v>
      </c>
    </row>
    <row r="48" spans="1:21">
      <c r="I48" s="51"/>
      <c r="J48" s="45">
        <v>44</v>
      </c>
      <c r="K48" s="52">
        <f t="shared" si="0"/>
        <v>1.0088469045719339</v>
      </c>
      <c r="L48" s="52">
        <f t="shared" si="1"/>
        <v>1.0088469045719339</v>
      </c>
      <c r="M48" s="52">
        <f t="shared" si="2"/>
        <v>1.0088469045719339</v>
      </c>
      <c r="N48" s="53">
        <f t="shared" si="3"/>
        <v>1.0088469045719339</v>
      </c>
    </row>
    <row r="49" spans="9:14">
      <c r="I49" s="25"/>
      <c r="J49" s="45">
        <v>45</v>
      </c>
      <c r="K49" s="52">
        <f t="shared" si="0"/>
        <v>1.0130215515342391</v>
      </c>
      <c r="L49" s="52">
        <f t="shared" si="1"/>
        <v>1.0130215515342391</v>
      </c>
      <c r="M49" s="52">
        <f t="shared" si="2"/>
        <v>1.0130215515342391</v>
      </c>
      <c r="N49" s="53">
        <f t="shared" si="3"/>
        <v>1.0130215515342391</v>
      </c>
    </row>
    <row r="50" spans="9:14">
      <c r="I50" s="51"/>
      <c r="J50" s="45">
        <v>46</v>
      </c>
      <c r="K50" s="52">
        <f t="shared" si="0"/>
        <v>1.0178697876737957</v>
      </c>
      <c r="L50" s="52">
        <f t="shared" si="1"/>
        <v>1.0178697876737957</v>
      </c>
      <c r="M50" s="52">
        <f t="shared" si="2"/>
        <v>1.0178697876737957</v>
      </c>
      <c r="N50" s="53">
        <f t="shared" si="3"/>
        <v>1.0178697876737957</v>
      </c>
    </row>
    <row r="51" spans="9:14">
      <c r="I51" s="25"/>
      <c r="J51" s="45">
        <v>47</v>
      </c>
      <c r="K51" s="52">
        <f t="shared" si="0"/>
        <v>1.0233366357059426</v>
      </c>
      <c r="L51" s="52">
        <f t="shared" si="1"/>
        <v>1.0233366357059426</v>
      </c>
      <c r="M51" s="52">
        <f t="shared" si="2"/>
        <v>1.0233366357059426</v>
      </c>
      <c r="N51" s="53">
        <f t="shared" si="3"/>
        <v>1.0233366357059426</v>
      </c>
    </row>
    <row r="52" spans="9:14">
      <c r="I52" s="51"/>
      <c r="J52" s="45">
        <v>48</v>
      </c>
      <c r="K52" s="52">
        <f t="shared" si="0"/>
        <v>1.0293669483119479</v>
      </c>
      <c r="L52" s="52">
        <f t="shared" si="1"/>
        <v>1.0293669483119479</v>
      </c>
      <c r="M52" s="52">
        <f t="shared" si="2"/>
        <v>1.0293669483119479</v>
      </c>
      <c r="N52" s="53">
        <f t="shared" si="3"/>
        <v>1.0293669483119479</v>
      </c>
    </row>
    <row r="53" spans="9:14">
      <c r="I53" s="25"/>
      <c r="J53" s="45">
        <v>49</v>
      </c>
      <c r="K53" s="52">
        <f t="shared" si="0"/>
        <v>1.0359050613349043</v>
      </c>
      <c r="L53" s="52">
        <f t="shared" si="1"/>
        <v>1.0359050613349043</v>
      </c>
      <c r="M53" s="52">
        <f t="shared" si="2"/>
        <v>1.0359050613349043</v>
      </c>
      <c r="N53" s="53">
        <f t="shared" si="3"/>
        <v>1.0359050613349043</v>
      </c>
    </row>
    <row r="54" spans="9:14">
      <c r="I54" s="51"/>
      <c r="J54" s="45">
        <v>50</v>
      </c>
      <c r="K54" s="52">
        <f t="shared" si="0"/>
        <v>1.0428944787507632</v>
      </c>
      <c r="L54" s="52">
        <f t="shared" si="1"/>
        <v>1.0428944787507632</v>
      </c>
      <c r="M54" s="52">
        <f t="shared" si="2"/>
        <v>1.0428944787507632</v>
      </c>
      <c r="N54" s="53">
        <f t="shared" si="3"/>
        <v>1.0428944787507632</v>
      </c>
    </row>
    <row r="55" spans="9:14">
      <c r="I55" s="25"/>
      <c r="J55" s="45">
        <v>51</v>
      </c>
      <c r="K55" s="52">
        <f t="shared" si="0"/>
        <v>1.0502775893088807</v>
      </c>
      <c r="L55" s="52">
        <f t="shared" si="1"/>
        <v>1.0502775893088807</v>
      </c>
      <c r="M55" s="52">
        <f t="shared" si="2"/>
        <v>1.0502775893088807</v>
      </c>
      <c r="N55" s="53">
        <f t="shared" si="3"/>
        <v>1.0502775893088807</v>
      </c>
    </row>
    <row r="56" spans="9:14">
      <c r="I56" s="51"/>
      <c r="J56" s="45">
        <v>52</v>
      </c>
      <c r="K56" s="52">
        <f t="shared" si="0"/>
        <v>1.0579954152345321</v>
      </c>
      <c r="L56" s="52">
        <f t="shared" si="1"/>
        <v>1.0579954152345321</v>
      </c>
      <c r="M56" s="52">
        <f t="shared" si="2"/>
        <v>1.0579954152345321</v>
      </c>
      <c r="N56" s="53">
        <f t="shared" si="3"/>
        <v>1.0579954152345321</v>
      </c>
    </row>
    <row r="57" spans="9:14">
      <c r="I57" s="25"/>
      <c r="J57" s="45">
        <v>53</v>
      </c>
      <c r="K57" s="52">
        <f t="shared" si="0"/>
        <v>1.0659873938318052</v>
      </c>
      <c r="L57" s="52">
        <f t="shared" si="1"/>
        <v>1.0659873938318052</v>
      </c>
      <c r="M57" s="52">
        <f t="shared" si="2"/>
        <v>1.0659873938318052</v>
      </c>
      <c r="N57" s="53">
        <f t="shared" si="3"/>
        <v>1.0659873938318052</v>
      </c>
    </row>
    <row r="58" spans="9:14">
      <c r="I58" s="51"/>
      <c r="J58" s="45">
        <v>54</v>
      </c>
      <c r="K58" s="52">
        <f t="shared" si="0"/>
        <v>1.0741911932189787</v>
      </c>
      <c r="L58" s="52">
        <f t="shared" si="1"/>
        <v>1.0741911932189787</v>
      </c>
      <c r="M58" s="52">
        <f t="shared" si="2"/>
        <v>1.0741911932189787</v>
      </c>
      <c r="N58" s="53">
        <f t="shared" si="3"/>
        <v>1.0741911932189787</v>
      </c>
    </row>
    <row r="59" spans="9:14">
      <c r="I59" s="25"/>
      <c r="J59" s="45">
        <v>55</v>
      </c>
      <c r="K59" s="52">
        <f t="shared" si="0"/>
        <v>1.0825425637684738</v>
      </c>
      <c r="L59" s="52">
        <f t="shared" si="1"/>
        <v>1.0825425637684738</v>
      </c>
      <c r="M59" s="52">
        <f t="shared" si="2"/>
        <v>1.0825425637684738</v>
      </c>
      <c r="N59" s="53">
        <f t="shared" si="3"/>
        <v>1.0825425637684738</v>
      </c>
    </row>
    <row r="60" spans="9:14">
      <c r="I60" s="51"/>
      <c r="J60" s="45">
        <v>56</v>
      </c>
      <c r="K60" s="52">
        <f t="shared" si="0"/>
        <v>1.0909752271068902</v>
      </c>
      <c r="L60" s="52">
        <f t="shared" si="1"/>
        <v>1.0909752271068902</v>
      </c>
      <c r="M60" s="52">
        <f t="shared" si="2"/>
        <v>1.0909752271068902</v>
      </c>
      <c r="N60" s="53">
        <f t="shared" si="3"/>
        <v>1.0909752271068902</v>
      </c>
    </row>
    <row r="61" spans="9:14">
      <c r="I61" s="25"/>
      <c r="J61" s="45">
        <v>57</v>
      </c>
      <c r="K61" s="52">
        <f t="shared" si="0"/>
        <v>1.0994208047538516</v>
      </c>
      <c r="L61" s="52">
        <f t="shared" si="1"/>
        <v>1.0994208047538516</v>
      </c>
      <c r="M61" s="52">
        <f t="shared" si="2"/>
        <v>1.0994208047538516</v>
      </c>
      <c r="N61" s="53">
        <f t="shared" si="3"/>
        <v>1.0994208047538516</v>
      </c>
    </row>
    <row r="62" spans="9:14">
      <c r="I62" s="51"/>
      <c r="J62" s="45">
        <v>58</v>
      </c>
      <c r="K62" s="52">
        <f t="shared" si="0"/>
        <v>1.1078087886366976</v>
      </c>
      <c r="L62" s="52">
        <f t="shared" si="1"/>
        <v>1.1078087886366976</v>
      </c>
      <c r="M62" s="52">
        <f t="shared" si="2"/>
        <v>1.1078087886366976</v>
      </c>
      <c r="N62" s="53">
        <f t="shared" si="3"/>
        <v>1.1078087886366976</v>
      </c>
    </row>
    <row r="63" spans="9:14">
      <c r="I63" s="25"/>
      <c r="J63" s="45">
        <v>59</v>
      </c>
      <c r="K63" s="52">
        <f t="shared" si="0"/>
        <v>1.1160665558061658</v>
      </c>
      <c r="L63" s="52">
        <f t="shared" si="1"/>
        <v>1.1160665558061658</v>
      </c>
      <c r="M63" s="52">
        <f t="shared" si="2"/>
        <v>1.1160665558061658</v>
      </c>
      <c r="N63" s="53">
        <f t="shared" si="3"/>
        <v>1.1160665558061658</v>
      </c>
    </row>
    <row r="64" spans="9:14">
      <c r="I64" s="51"/>
      <c r="J64" s="45">
        <v>60</v>
      </c>
      <c r="K64" s="52">
        <f t="shared" si="0"/>
        <v>1.1241194296905372</v>
      </c>
      <c r="L64" s="52">
        <f t="shared" si="1"/>
        <v>1.1241194296905372</v>
      </c>
      <c r="M64" s="52">
        <f t="shared" si="2"/>
        <v>1.1241194296905372</v>
      </c>
      <c r="N64" s="53">
        <f t="shared" si="3"/>
        <v>1.1241194296905372</v>
      </c>
    </row>
    <row r="65" spans="9:14">
      <c r="I65" s="25"/>
      <c r="J65" s="45">
        <v>61</v>
      </c>
      <c r="K65" s="52">
        <f t="shared" si="0"/>
        <v>1.1318907901562738</v>
      </c>
      <c r="L65" s="52">
        <f t="shared" si="1"/>
        <v>1.1318907901562738</v>
      </c>
      <c r="M65" s="52">
        <f t="shared" si="2"/>
        <v>1.1318907901562738</v>
      </c>
      <c r="N65" s="53">
        <f t="shared" si="3"/>
        <v>1.1318907901562738</v>
      </c>
    </row>
    <row r="66" spans="9:14">
      <c r="I66" s="51"/>
      <c r="J66" s="45">
        <v>62</v>
      </c>
      <c r="K66" s="52">
        <f t="shared" si="0"/>
        <v>1.1393022344862935</v>
      </c>
      <c r="L66" s="52">
        <f t="shared" si="1"/>
        <v>1.1393022344862935</v>
      </c>
      <c r="M66" s="52">
        <f t="shared" si="2"/>
        <v>1.1393022344862935</v>
      </c>
      <c r="N66" s="53">
        <f t="shared" si="3"/>
        <v>1.1393022344862935</v>
      </c>
    </row>
    <row r="67" spans="9:14">
      <c r="I67" s="25"/>
      <c r="J67" s="45">
        <v>63</v>
      </c>
      <c r="K67" s="52">
        <f t="shared" si="0"/>
        <v>1.146273791137286</v>
      </c>
      <c r="L67" s="52">
        <f t="shared" si="1"/>
        <v>1.146273791137286</v>
      </c>
      <c r="M67" s="52">
        <f t="shared" si="2"/>
        <v>1.146273791137286</v>
      </c>
      <c r="N67" s="53">
        <f t="shared" si="3"/>
        <v>1.146273791137286</v>
      </c>
    </row>
    <row r="68" spans="9:14">
      <c r="I68" s="51"/>
      <c r="J68" s="45">
        <v>64</v>
      </c>
      <c r="K68" s="52">
        <f t="shared" si="0"/>
        <v>1.1527241877903287</v>
      </c>
      <c r="L68" s="52">
        <f t="shared" si="1"/>
        <v>1.1527241877903287</v>
      </c>
      <c r="M68" s="52">
        <f t="shared" si="2"/>
        <v>1.1527241877903287</v>
      </c>
      <c r="N68" s="53">
        <f t="shared" si="3"/>
        <v>1.1527241877903287</v>
      </c>
    </row>
    <row r="69" spans="9:14">
      <c r="I69" s="25"/>
      <c r="J69" s="45">
        <v>65</v>
      </c>
      <c r="K69" s="52">
        <f t="shared" si="0"/>
        <v>1.1585711747608864</v>
      </c>
      <c r="L69" s="52">
        <f t="shared" si="1"/>
        <v>1.1585711747608864</v>
      </c>
      <c r="M69" s="52">
        <f t="shared" si="2"/>
        <v>1.1585711747608864</v>
      </c>
      <c r="N69" s="53">
        <f t="shared" si="3"/>
        <v>1.1585711747608864</v>
      </c>
    </row>
    <row r="70" spans="9:14">
      <c r="I70" s="51"/>
      <c r="J70" s="45">
        <v>66</v>
      </c>
      <c r="K70" s="52">
        <f t="shared" si="0"/>
        <v>1.1637319042830545</v>
      </c>
      <c r="L70" s="52">
        <f t="shared" si="1"/>
        <v>1.1637319042830545</v>
      </c>
      <c r="M70" s="52">
        <f t="shared" si="2"/>
        <v>1.1637319042830545</v>
      </c>
      <c r="N70" s="53">
        <f t="shared" si="3"/>
        <v>1.1637319042830545</v>
      </c>
    </row>
    <row r="71" spans="9:14">
      <c r="I71" s="25"/>
      <c r="J71" s="45">
        <v>67</v>
      </c>
      <c r="K71" s="52">
        <f t="shared" si="0"/>
        <v>1.1681233655282988</v>
      </c>
      <c r="L71" s="52">
        <f t="shared" si="1"/>
        <v>1.1681233655282988</v>
      </c>
      <c r="M71" s="52">
        <f t="shared" si="2"/>
        <v>1.1681233655282988</v>
      </c>
      <c r="N71" s="53">
        <f t="shared" si="3"/>
        <v>1.1681233655282988</v>
      </c>
    </row>
    <row r="72" spans="9:14">
      <c r="I72" s="51"/>
      <c r="J72" s="45">
        <v>68</v>
      </c>
      <c r="K72" s="52">
        <f t="shared" si="0"/>
        <v>1.1716628744628925</v>
      </c>
      <c r="L72" s="52">
        <f t="shared" si="1"/>
        <v>1.1716628744628925</v>
      </c>
      <c r="M72" s="52">
        <f t="shared" si="2"/>
        <v>1.1716628744628925</v>
      </c>
      <c r="N72" s="53">
        <f t="shared" si="3"/>
        <v>1.1716628744628925</v>
      </c>
    </row>
    <row r="73" spans="9:14">
      <c r="I73" s="25"/>
      <c r="J73" s="45">
        <v>69</v>
      </c>
      <c r="K73" s="52">
        <f t="shared" si="0"/>
        <v>1.1742686167951844</v>
      </c>
      <c r="L73" s="52">
        <f t="shared" si="1"/>
        <v>1.1742686167951844</v>
      </c>
      <c r="M73" s="52">
        <f t="shared" si="2"/>
        <v>1.1742686167951844</v>
      </c>
      <c r="N73" s="53">
        <f t="shared" si="3"/>
        <v>1.1742686167951844</v>
      </c>
    </row>
    <row r="74" spans="9:14">
      <c r="I74" s="51"/>
      <c r="J74" s="39" t="s">
        <v>108</v>
      </c>
      <c r="K74" s="59">
        <f t="shared" si="0"/>
        <v>1.1758602413209998</v>
      </c>
      <c r="L74" s="59">
        <f t="shared" si="1"/>
        <v>1.1758602413209998</v>
      </c>
      <c r="M74" s="59">
        <f t="shared" si="2"/>
        <v>1.1758602413209998</v>
      </c>
      <c r="N74" s="60">
        <f t="shared" si="3"/>
        <v>1.1758602413209998</v>
      </c>
    </row>
  </sheetData>
  <mergeCells count="6">
    <mergeCell ref="J15:J16"/>
    <mergeCell ref="B30:B31"/>
    <mergeCell ref="C30:C31"/>
    <mergeCell ref="D30:D31"/>
    <mergeCell ref="E30:E31"/>
    <mergeCell ref="F30:F3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76DB-69FC-DC4D-BAB4-313835DFDC3D}">
  <sheetPr codeName="Sheet8"/>
  <dimension ref="A1:Y83"/>
  <sheetViews>
    <sheetView topLeftCell="D2" zoomScale="75" zoomScaleNormal="75" workbookViewId="0">
      <selection activeCell="P33" sqref="P33"/>
    </sheetView>
  </sheetViews>
  <sheetFormatPr baseColWidth="10" defaultColWidth="8.83203125" defaultRowHeight="15"/>
  <cols>
    <col min="2" max="2" width="29.33203125" customWidth="1"/>
    <col min="3" max="3" width="20.6640625" customWidth="1"/>
    <col min="4" max="4" width="18.83203125" customWidth="1"/>
    <col min="5" max="5" width="14.5" customWidth="1"/>
    <col min="6" max="6" width="14.1640625" customWidth="1"/>
    <col min="8" max="8" width="12.5" customWidth="1"/>
    <col min="9" max="9" width="26.1640625" customWidth="1"/>
    <col min="10" max="13" width="10.83203125" bestFit="1" customWidth="1"/>
    <col min="14" max="16" width="9.6640625" bestFit="1" customWidth="1"/>
    <col min="17" max="17" width="10.6640625" customWidth="1"/>
    <col min="19" max="21" width="9.83203125" bestFit="1" customWidth="1"/>
  </cols>
  <sheetData>
    <row r="1" spans="1:25" ht="16" thickBot="1">
      <c r="A1" s="67"/>
      <c r="B1" s="69"/>
      <c r="C1" s="67"/>
      <c r="D1" s="67"/>
      <c r="E1" s="67"/>
      <c r="F1" s="67"/>
    </row>
    <row r="2" spans="1:25" ht="20" thickBot="1">
      <c r="B2" s="70" t="s">
        <v>76</v>
      </c>
      <c r="C2" s="96"/>
      <c r="D2" s="71"/>
      <c r="E2" s="71"/>
      <c r="F2" s="72"/>
      <c r="H2" s="164" t="s">
        <v>153</v>
      </c>
      <c r="I2" s="163"/>
      <c r="J2" s="163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</row>
    <row r="3" spans="1:25" ht="19">
      <c r="B3" s="95" t="s">
        <v>43</v>
      </c>
      <c r="C3" s="103" t="s">
        <v>7</v>
      </c>
      <c r="D3" s="74"/>
      <c r="E3" s="74"/>
      <c r="F3" s="75"/>
      <c r="H3" s="144"/>
      <c r="I3" s="143"/>
      <c r="J3" s="143" t="s">
        <v>0</v>
      </c>
      <c r="K3" s="143" t="s">
        <v>1</v>
      </c>
      <c r="L3" s="143" t="s">
        <v>2</v>
      </c>
      <c r="M3" s="142" t="s">
        <v>3</v>
      </c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</row>
    <row r="4" spans="1:25" ht="19">
      <c r="B4" s="95" t="s">
        <v>44</v>
      </c>
      <c r="C4" s="104">
        <v>50</v>
      </c>
      <c r="D4" s="74"/>
      <c r="E4" s="74"/>
      <c r="F4" s="75"/>
      <c r="H4" s="151"/>
      <c r="I4" s="139" t="s">
        <v>4</v>
      </c>
      <c r="J4" s="138">
        <v>120</v>
      </c>
      <c r="K4" s="138">
        <v>150</v>
      </c>
      <c r="L4" s="138">
        <v>210</v>
      </c>
      <c r="M4" s="162">
        <v>340</v>
      </c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</row>
    <row r="5" spans="1:25" ht="19">
      <c r="B5" s="90" t="s">
        <v>21</v>
      </c>
      <c r="C5" s="97" t="s">
        <v>13</v>
      </c>
      <c r="D5" s="76" t="s">
        <v>114</v>
      </c>
      <c r="E5" s="74"/>
      <c r="F5" s="75"/>
      <c r="H5" s="151"/>
      <c r="I5" s="139"/>
      <c r="J5" s="139"/>
      <c r="K5" s="139"/>
      <c r="L5" s="139"/>
      <c r="M5" s="149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</row>
    <row r="6" spans="1:25" ht="19">
      <c r="B6" s="73"/>
      <c r="C6" s="77">
        <v>3</v>
      </c>
      <c r="D6" s="78">
        <v>2</v>
      </c>
      <c r="E6" s="74"/>
      <c r="F6" s="75"/>
      <c r="H6" s="174" t="s">
        <v>23</v>
      </c>
      <c r="I6" s="143" t="s">
        <v>19</v>
      </c>
      <c r="J6" s="143">
        <v>1.276</v>
      </c>
      <c r="K6" s="143">
        <f>PD_LF($C$4)</f>
        <v>1.0580000000000001</v>
      </c>
      <c r="L6" s="143"/>
      <c r="M6" s="142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</row>
    <row r="7" spans="1:25" ht="20" thickBot="1">
      <c r="B7" s="79" t="s">
        <v>79</v>
      </c>
      <c r="C7" s="80"/>
      <c r="D7" s="81"/>
      <c r="E7" s="81"/>
      <c r="F7" s="82"/>
      <c r="H7" s="175"/>
      <c r="I7" s="139" t="s">
        <v>21</v>
      </c>
      <c r="J7" s="139">
        <v>0.92</v>
      </c>
      <c r="K7" s="139">
        <v>0.92</v>
      </c>
      <c r="L7" s="139">
        <v>1.1399999999999999</v>
      </c>
      <c r="M7" s="149">
        <v>0.96</v>
      </c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</row>
    <row r="8" spans="1:25" ht="19">
      <c r="B8" s="89" t="s">
        <v>14</v>
      </c>
      <c r="C8" s="88">
        <v>2</v>
      </c>
      <c r="D8" s="74"/>
      <c r="E8" s="74"/>
      <c r="F8" s="75"/>
      <c r="H8" s="175"/>
      <c r="I8" s="140" t="s">
        <v>79</v>
      </c>
      <c r="J8" s="140">
        <v>1</v>
      </c>
      <c r="K8" s="140">
        <v>1</v>
      </c>
      <c r="L8" s="140">
        <v>1</v>
      </c>
      <c r="M8" s="140">
        <v>1</v>
      </c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</row>
    <row r="9" spans="1:25" ht="19">
      <c r="B9" s="73"/>
      <c r="C9" s="83" t="s">
        <v>50</v>
      </c>
      <c r="D9" s="76" t="s">
        <v>51</v>
      </c>
      <c r="E9" s="76" t="s">
        <v>58</v>
      </c>
      <c r="F9" s="84" t="s">
        <v>115</v>
      </c>
      <c r="H9" s="155"/>
      <c r="I9" s="139"/>
      <c r="J9" s="139"/>
      <c r="K9" s="139"/>
      <c r="L9" s="139"/>
      <c r="M9" s="139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</row>
    <row r="10" spans="1:25" ht="19">
      <c r="B10" s="73" t="s">
        <v>116</v>
      </c>
      <c r="C10" s="77">
        <v>35</v>
      </c>
      <c r="D10" s="77">
        <v>3</v>
      </c>
      <c r="E10" s="77"/>
      <c r="F10" s="85"/>
      <c r="H10" s="161"/>
      <c r="I10" s="139"/>
      <c r="J10" s="139"/>
      <c r="K10" s="139"/>
      <c r="L10" s="139"/>
      <c r="M10" s="139"/>
      <c r="N10" s="140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</row>
    <row r="11" spans="1:25" ht="19">
      <c r="B11" s="73" t="s">
        <v>56</v>
      </c>
      <c r="C11" s="77">
        <v>51</v>
      </c>
      <c r="D11" s="77">
        <v>19</v>
      </c>
      <c r="E11" s="77"/>
      <c r="F11" s="85"/>
      <c r="H11" s="160"/>
      <c r="I11" s="142"/>
      <c r="J11" s="159" t="s">
        <v>0</v>
      </c>
      <c r="K11" s="143" t="s">
        <v>1</v>
      </c>
      <c r="L11" s="143" t="s">
        <v>2</v>
      </c>
      <c r="M11" s="142" t="s">
        <v>3</v>
      </c>
      <c r="N11" s="139" t="s">
        <v>0</v>
      </c>
      <c r="O11" s="143" t="s">
        <v>1</v>
      </c>
      <c r="P11" s="143" t="s">
        <v>2</v>
      </c>
      <c r="Q11" s="142" t="s">
        <v>3</v>
      </c>
      <c r="R11" s="143" t="s">
        <v>0</v>
      </c>
      <c r="S11" s="143" t="s">
        <v>1</v>
      </c>
      <c r="T11" s="143" t="s">
        <v>2</v>
      </c>
      <c r="U11" s="142" t="s">
        <v>3</v>
      </c>
      <c r="V11" s="143" t="s">
        <v>0</v>
      </c>
      <c r="W11" s="143" t="s">
        <v>1</v>
      </c>
      <c r="X11" s="143" t="s">
        <v>2</v>
      </c>
      <c r="Y11" s="142" t="s">
        <v>3</v>
      </c>
    </row>
    <row r="12" spans="1:25" ht="20" thickBot="1">
      <c r="B12" s="79" t="s">
        <v>17</v>
      </c>
      <c r="C12" s="86">
        <v>0</v>
      </c>
      <c r="D12" s="86">
        <v>1</v>
      </c>
      <c r="E12" s="86"/>
      <c r="F12" s="87"/>
      <c r="H12" s="158"/>
      <c r="I12" s="149"/>
      <c r="J12" s="157" t="s">
        <v>50</v>
      </c>
      <c r="K12" s="143"/>
      <c r="L12" s="143"/>
      <c r="M12" s="142"/>
      <c r="N12" s="143" t="s">
        <v>51</v>
      </c>
      <c r="O12" s="143"/>
      <c r="P12" s="143"/>
      <c r="Q12" s="142"/>
      <c r="R12" s="156" t="s">
        <v>58</v>
      </c>
      <c r="S12" s="143"/>
      <c r="T12" s="143"/>
      <c r="U12" s="142"/>
      <c r="V12" s="156" t="s">
        <v>115</v>
      </c>
      <c r="W12" s="143"/>
      <c r="X12" s="143"/>
      <c r="Y12" s="142"/>
    </row>
    <row r="13" spans="1:25" ht="19">
      <c r="B13" s="89" t="s">
        <v>13</v>
      </c>
      <c r="C13" s="88">
        <v>3</v>
      </c>
      <c r="D13" s="74"/>
      <c r="E13" s="74"/>
      <c r="F13" s="75"/>
      <c r="H13" s="175" t="s">
        <v>22</v>
      </c>
      <c r="I13" s="142" t="s">
        <v>16</v>
      </c>
      <c r="J13" s="144">
        <f>DriverExp($C$9)</f>
        <v>1</v>
      </c>
      <c r="K13" s="143">
        <f>DriverExp($C$9)</f>
        <v>1</v>
      </c>
      <c r="L13" s="143">
        <f>DriverExp($C$9)</f>
        <v>1</v>
      </c>
      <c r="M13" s="142">
        <f>DriverExp($C$9)</f>
        <v>1</v>
      </c>
      <c r="N13" s="143">
        <v>1</v>
      </c>
      <c r="O13" s="143">
        <v>1</v>
      </c>
      <c r="P13" s="143">
        <v>1</v>
      </c>
      <c r="Q13" s="142">
        <v>1</v>
      </c>
      <c r="R13" s="143"/>
      <c r="S13" s="143"/>
      <c r="T13" s="143"/>
      <c r="U13" s="142"/>
      <c r="V13" s="143"/>
      <c r="W13" s="143"/>
      <c r="X13" s="143"/>
      <c r="Y13" s="142"/>
    </row>
    <row r="14" spans="1:25" ht="19">
      <c r="B14" s="73"/>
      <c r="C14" s="83" t="s">
        <v>52</v>
      </c>
      <c r="D14" s="76" t="s">
        <v>53</v>
      </c>
      <c r="E14" s="76" t="s">
        <v>57</v>
      </c>
      <c r="F14" s="84" t="s">
        <v>118</v>
      </c>
      <c r="H14" s="175"/>
      <c r="I14" s="149" t="s">
        <v>56</v>
      </c>
      <c r="J14" s="151">
        <v>1.0502776</v>
      </c>
      <c r="K14" s="151">
        <v>1.0502776</v>
      </c>
      <c r="L14" s="151">
        <v>1.0502776</v>
      </c>
      <c r="M14" s="151">
        <v>1.0502776</v>
      </c>
      <c r="N14" s="139">
        <v>1.3491442</v>
      </c>
      <c r="O14" s="139">
        <v>1.3491442</v>
      </c>
      <c r="P14" s="139">
        <v>1.3491442</v>
      </c>
      <c r="Q14" s="139">
        <v>1.3491442</v>
      </c>
      <c r="R14" s="139"/>
      <c r="S14" s="139"/>
      <c r="T14" s="139"/>
      <c r="U14" s="149"/>
      <c r="V14" s="139"/>
      <c r="W14" s="139"/>
      <c r="X14" s="139"/>
      <c r="Y14" s="149"/>
    </row>
    <row r="15" spans="1:25" ht="19">
      <c r="B15" s="73" t="s">
        <v>45</v>
      </c>
      <c r="C15" s="91">
        <v>250</v>
      </c>
      <c r="D15" s="91" t="s">
        <v>30</v>
      </c>
      <c r="E15" s="91">
        <v>500</v>
      </c>
      <c r="F15" s="93"/>
      <c r="H15" s="176"/>
      <c r="I15" s="148" t="s">
        <v>17</v>
      </c>
      <c r="J15" s="151">
        <v>1</v>
      </c>
      <c r="K15" s="139">
        <v>1</v>
      </c>
      <c r="L15" s="139">
        <v>1</v>
      </c>
      <c r="M15" s="149">
        <v>1</v>
      </c>
      <c r="N15" s="139">
        <v>1.17</v>
      </c>
      <c r="O15" s="139">
        <v>1.17</v>
      </c>
      <c r="P15" s="139">
        <v>1.1200000000000001</v>
      </c>
      <c r="Q15" s="149">
        <v>1.21</v>
      </c>
      <c r="R15" s="139"/>
      <c r="S15" s="139"/>
      <c r="T15" s="139"/>
      <c r="U15" s="149"/>
      <c r="V15" s="139"/>
      <c r="W15" s="139"/>
      <c r="X15" s="139"/>
      <c r="Y15" s="149"/>
    </row>
    <row r="16" spans="1:25" ht="19">
      <c r="B16" s="73" t="s">
        <v>46</v>
      </c>
      <c r="C16" s="91">
        <v>500</v>
      </c>
      <c r="D16" s="91" t="s">
        <v>30</v>
      </c>
      <c r="E16" s="91">
        <v>500</v>
      </c>
      <c r="F16" s="93"/>
      <c r="H16" s="155"/>
      <c r="I16" s="143"/>
      <c r="J16" s="143">
        <f>J14</f>
        <v>1.0502776</v>
      </c>
      <c r="K16" s="143">
        <f>K14</f>
        <v>1.0502776</v>
      </c>
      <c r="L16" s="143">
        <f>L14</f>
        <v>1.0502776</v>
      </c>
      <c r="M16" s="143">
        <f>M14</f>
        <v>1.0502776</v>
      </c>
      <c r="N16" s="143">
        <f>N13*N14*N15</f>
        <v>1.578498714</v>
      </c>
      <c r="O16" s="143">
        <f>O13*O14*O15</f>
        <v>1.578498714</v>
      </c>
      <c r="P16" s="143">
        <f>P14*P15</f>
        <v>1.5110415040000003</v>
      </c>
      <c r="Q16" s="143">
        <f>Q14*Q15</f>
        <v>1.6324644820000001</v>
      </c>
      <c r="R16" s="143"/>
      <c r="S16" s="143"/>
      <c r="T16" s="143"/>
      <c r="U16" s="143"/>
      <c r="V16" s="143"/>
      <c r="W16" s="143"/>
      <c r="X16" s="143"/>
      <c r="Y16" s="143"/>
    </row>
    <row r="17" spans="2:25" ht="19">
      <c r="B17" s="73" t="s">
        <v>26</v>
      </c>
      <c r="C17" s="91">
        <v>2014</v>
      </c>
      <c r="D17" s="91">
        <v>1998</v>
      </c>
      <c r="E17" s="91">
        <v>2017</v>
      </c>
      <c r="F17" s="93"/>
      <c r="H17" s="154" t="s">
        <v>150</v>
      </c>
      <c r="I17" s="140"/>
      <c r="J17" s="140">
        <f>(J16+N16)/2</f>
        <v>1.314388157</v>
      </c>
      <c r="K17" s="140">
        <f>(K16+O16)/2</f>
        <v>1.314388157</v>
      </c>
      <c r="L17" s="140">
        <f>(L16+P16)/2</f>
        <v>1.2806595520000001</v>
      </c>
      <c r="M17" s="140">
        <f>(M16+Q16)/2</f>
        <v>1.3413710409999999</v>
      </c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</row>
    <row r="18" spans="2:25" ht="20" thickBot="1">
      <c r="B18" s="79" t="s">
        <v>27</v>
      </c>
      <c r="C18" s="92" t="s">
        <v>40</v>
      </c>
      <c r="D18" s="92" t="s">
        <v>37</v>
      </c>
      <c r="E18" s="92" t="s">
        <v>41</v>
      </c>
      <c r="F18" s="94"/>
      <c r="H18" s="153"/>
      <c r="I18" s="139"/>
      <c r="J18" s="144" t="s">
        <v>0</v>
      </c>
      <c r="K18" s="143" t="s">
        <v>1</v>
      </c>
      <c r="L18" s="143" t="s">
        <v>2</v>
      </c>
      <c r="M18" s="142" t="s">
        <v>3</v>
      </c>
      <c r="N18" s="144" t="s">
        <v>0</v>
      </c>
      <c r="O18" s="143" t="s">
        <v>1</v>
      </c>
      <c r="P18" s="143" t="s">
        <v>2</v>
      </c>
      <c r="Q18" s="142" t="s">
        <v>3</v>
      </c>
      <c r="R18" s="144" t="s">
        <v>0</v>
      </c>
      <c r="S18" s="143" t="s">
        <v>1</v>
      </c>
      <c r="T18" s="143" t="s">
        <v>2</v>
      </c>
      <c r="U18" s="142" t="s">
        <v>3</v>
      </c>
      <c r="V18" s="144" t="s">
        <v>0</v>
      </c>
      <c r="W18" s="143" t="s">
        <v>1</v>
      </c>
      <c r="X18" s="143" t="s">
        <v>2</v>
      </c>
      <c r="Y18" s="142" t="s">
        <v>3</v>
      </c>
    </row>
    <row r="19" spans="2:25">
      <c r="B19" s="68"/>
      <c r="H19" s="151"/>
      <c r="I19" s="139"/>
      <c r="J19" s="152" t="s">
        <v>52</v>
      </c>
      <c r="K19" s="139"/>
      <c r="L19" s="139"/>
      <c r="M19" s="139"/>
      <c r="N19" s="152" t="s">
        <v>53</v>
      </c>
      <c r="O19" s="137"/>
      <c r="P19" s="137"/>
      <c r="Q19" s="137"/>
      <c r="R19" s="152" t="s">
        <v>57</v>
      </c>
      <c r="S19" s="137"/>
      <c r="T19" s="137"/>
      <c r="U19" s="137"/>
      <c r="V19" s="152" t="s">
        <v>118</v>
      </c>
      <c r="W19" s="137"/>
      <c r="X19" s="137"/>
      <c r="Y19" s="148"/>
    </row>
    <row r="20" spans="2:25">
      <c r="H20" s="174" t="s">
        <v>24</v>
      </c>
      <c r="I20" s="142" t="s">
        <v>25</v>
      </c>
      <c r="J20" s="144"/>
      <c r="K20" s="143"/>
      <c r="L20" s="143">
        <f>Deductible_COMP($C$13)</f>
        <v>1</v>
      </c>
      <c r="M20" s="142">
        <v>0.84</v>
      </c>
      <c r="N20" s="144"/>
      <c r="O20" s="143"/>
      <c r="P20" s="143"/>
      <c r="Q20" s="142"/>
      <c r="R20" s="144"/>
      <c r="S20" s="143"/>
      <c r="T20" s="143">
        <v>0.79</v>
      </c>
      <c r="U20" s="142">
        <v>0.84</v>
      </c>
      <c r="V20" s="144"/>
      <c r="W20" s="143"/>
      <c r="X20" s="143"/>
      <c r="Y20" s="142"/>
    </row>
    <row r="21" spans="2:25">
      <c r="H21" s="175"/>
      <c r="I21" s="149" t="s">
        <v>26</v>
      </c>
      <c r="J21" s="151">
        <v>1.04</v>
      </c>
      <c r="K21" s="139">
        <v>1.05</v>
      </c>
      <c r="L21" s="139">
        <v>1.1759999999999999</v>
      </c>
      <c r="M21" s="149">
        <v>1.2669999999999999</v>
      </c>
      <c r="N21" s="151">
        <v>1</v>
      </c>
      <c r="O21" s="139">
        <v>1</v>
      </c>
      <c r="P21" s="139">
        <v>0.874</v>
      </c>
      <c r="Q21" s="149">
        <v>0.75</v>
      </c>
      <c r="R21" s="151">
        <v>1.04</v>
      </c>
      <c r="S21" s="139">
        <v>1.05</v>
      </c>
      <c r="T21" s="139">
        <v>1.248</v>
      </c>
      <c r="U21" s="149">
        <v>1.373</v>
      </c>
      <c r="V21" s="151"/>
      <c r="W21" s="139"/>
      <c r="X21" s="139"/>
      <c r="Y21" s="149"/>
    </row>
    <row r="22" spans="2:25">
      <c r="H22" s="175"/>
      <c r="I22" s="149" t="s">
        <v>27</v>
      </c>
      <c r="J22" s="151">
        <v>1</v>
      </c>
      <c r="K22" s="139">
        <v>1</v>
      </c>
      <c r="L22" s="139">
        <v>1.07</v>
      </c>
      <c r="M22" s="149">
        <v>1.1599999999999999</v>
      </c>
      <c r="N22" s="137">
        <v>1</v>
      </c>
      <c r="O22" s="137">
        <v>1</v>
      </c>
      <c r="P22" s="137">
        <v>0.92</v>
      </c>
      <c r="Q22" s="137">
        <v>0.85</v>
      </c>
      <c r="R22" s="151">
        <v>1.06</v>
      </c>
      <c r="S22" s="139">
        <v>1.05</v>
      </c>
      <c r="T22" s="139">
        <v>1.2</v>
      </c>
      <c r="U22" s="149">
        <v>1.28</v>
      </c>
      <c r="V22" s="151"/>
      <c r="W22" s="139"/>
      <c r="X22" s="139"/>
      <c r="Y22" s="149"/>
    </row>
    <row r="23" spans="2:25">
      <c r="H23" s="175"/>
      <c r="I23" s="149" t="s">
        <v>84</v>
      </c>
      <c r="J23" s="151">
        <v>1</v>
      </c>
      <c r="K23" s="139">
        <v>1</v>
      </c>
      <c r="L23" s="139">
        <v>1</v>
      </c>
      <c r="M23" s="149">
        <v>1</v>
      </c>
      <c r="N23" s="151">
        <v>1</v>
      </c>
      <c r="O23" s="139">
        <v>1</v>
      </c>
      <c r="P23" s="139">
        <v>1</v>
      </c>
      <c r="Q23" s="149">
        <v>1</v>
      </c>
      <c r="R23" s="151">
        <v>1</v>
      </c>
      <c r="S23" s="139">
        <v>1</v>
      </c>
      <c r="T23" s="139">
        <v>1</v>
      </c>
      <c r="U23" s="149">
        <v>1</v>
      </c>
      <c r="V23" s="151"/>
      <c r="W23" s="139"/>
      <c r="X23" s="139"/>
      <c r="Y23" s="149"/>
    </row>
    <row r="24" spans="2:25">
      <c r="H24" s="175"/>
      <c r="I24" s="149" t="s">
        <v>55</v>
      </c>
      <c r="J24" s="150"/>
      <c r="K24" s="139"/>
      <c r="L24" s="139"/>
      <c r="M24" s="149"/>
      <c r="N24" s="150"/>
      <c r="O24" s="139"/>
      <c r="P24" s="139"/>
      <c r="Q24" s="149"/>
      <c r="R24" s="150"/>
      <c r="S24" s="139"/>
      <c r="T24" s="139"/>
      <c r="U24" s="149"/>
      <c r="V24" s="150"/>
      <c r="W24" s="139"/>
      <c r="X24" s="139"/>
      <c r="Y24" s="149"/>
    </row>
    <row r="25" spans="2:25">
      <c r="H25" s="141"/>
      <c r="I25" s="148" t="s">
        <v>28</v>
      </c>
      <c r="J25" s="147">
        <f>120*J6*J7*J8*J17*J21</f>
        <v>192.56472084912693</v>
      </c>
      <c r="K25" s="146">
        <f>K4*K6*K7*K8*K17*K21</f>
        <v>201.50122489835942</v>
      </c>
      <c r="L25" s="146">
        <f>L4*L7*L8*L17*L21*L22</f>
        <v>385.78819887695005</v>
      </c>
      <c r="M25" s="145">
        <f>M4*M7*M8*M17*M20*M21*M22</f>
        <v>540.52149132067689</v>
      </c>
      <c r="N25" s="147">
        <f>J4*J6*J7*J8*J17</f>
        <v>185.15838543185282</v>
      </c>
      <c r="O25" s="146">
        <f>K4*K6*K7*K8*K17</f>
        <v>191.90592847462801</v>
      </c>
      <c r="P25" s="146">
        <f>L4*L7*L8*L17*P21*P22</f>
        <v>246.52280417777513</v>
      </c>
      <c r="Q25" s="145">
        <f>M4*M7*M8*M17*Q21*Q22</f>
        <v>279.11248621127993</v>
      </c>
      <c r="R25" s="147">
        <f>J4*J7*J6*J8*J17*R21*R22</f>
        <v>204.11860410007455</v>
      </c>
      <c r="S25" s="146">
        <f>K4*K6*K7*K8*K17*S21*S22</f>
        <v>211.5762861432774</v>
      </c>
      <c r="T25" s="146">
        <f>L4*L7*L8*L17*T20*T21*T22</f>
        <v>362.72773320309227</v>
      </c>
      <c r="U25" s="145">
        <f>M4*M7*M8*M17*U20*U21*U22</f>
        <v>646.33677823436471</v>
      </c>
      <c r="V25" s="147">
        <f>Total_BI(J4,F17,V19)</f>
        <v>0</v>
      </c>
      <c r="W25" s="146">
        <f>Total_PD(K4,F17,V19)</f>
        <v>0</v>
      </c>
      <c r="X25" s="146">
        <f>Total_COMP(L4,F17,V19)</f>
        <v>0</v>
      </c>
      <c r="Y25" s="145">
        <f>Total_COLL(M4,F17,V19)</f>
        <v>0</v>
      </c>
    </row>
    <row r="26" spans="2:25">
      <c r="H26" s="144"/>
      <c r="I26" s="143"/>
      <c r="J26" s="143"/>
      <c r="K26" s="143"/>
      <c r="L26" s="143"/>
      <c r="M26" s="142"/>
      <c r="N26" s="143"/>
      <c r="O26" s="143"/>
      <c r="P26" s="143"/>
      <c r="Q26" s="142"/>
      <c r="R26" s="143"/>
      <c r="S26" s="143"/>
      <c r="T26" s="143"/>
      <c r="U26" s="142"/>
      <c r="V26" s="143"/>
      <c r="W26" s="143"/>
      <c r="X26" s="143"/>
      <c r="Y26" s="142"/>
    </row>
    <row r="27" spans="2:25">
      <c r="H27" s="141"/>
      <c r="I27" s="140" t="s">
        <v>94</v>
      </c>
      <c r="J27" s="177">
        <v>20</v>
      </c>
      <c r="K27" s="177"/>
      <c r="L27" s="177"/>
      <c r="M27" s="178"/>
      <c r="N27" s="177" t="s">
        <v>97</v>
      </c>
      <c r="O27" s="177"/>
      <c r="P27" s="177"/>
      <c r="Q27" s="178"/>
      <c r="R27" s="177" t="s">
        <v>97</v>
      </c>
      <c r="S27" s="177"/>
      <c r="T27" s="177"/>
      <c r="U27" s="178"/>
      <c r="V27" s="177" t="s">
        <v>97</v>
      </c>
      <c r="W27" s="177"/>
      <c r="X27" s="177"/>
      <c r="Y27" s="178"/>
    </row>
    <row r="28" spans="2:25">
      <c r="H28" s="139"/>
      <c r="I28" s="139" t="s">
        <v>121</v>
      </c>
      <c r="J28" s="138">
        <f>SUM(J25:Y25,20)</f>
        <v>3667.8346419214577</v>
      </c>
      <c r="K28" s="138"/>
      <c r="L28" s="138"/>
      <c r="M28" s="138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</row>
    <row r="29" spans="2:25">
      <c r="H29" s="26" t="s">
        <v>152</v>
      </c>
      <c r="I29" s="10"/>
      <c r="J29" s="10"/>
    </row>
    <row r="30" spans="2:25">
      <c r="H30" s="27"/>
      <c r="I30" s="28"/>
      <c r="J30" s="28" t="s">
        <v>0</v>
      </c>
      <c r="K30" s="28" t="s">
        <v>1</v>
      </c>
      <c r="L30" s="28" t="s">
        <v>2</v>
      </c>
      <c r="M30" s="29" t="s">
        <v>3</v>
      </c>
    </row>
    <row r="31" spans="2:25">
      <c r="H31" s="21"/>
      <c r="I31" s="16" t="s">
        <v>4</v>
      </c>
      <c r="J31" s="101">
        <v>120</v>
      </c>
      <c r="K31" s="101">
        <v>150</v>
      </c>
      <c r="L31" s="101">
        <v>210</v>
      </c>
      <c r="M31" s="102">
        <v>340</v>
      </c>
      <c r="N31" s="4"/>
      <c r="O31" s="4"/>
      <c r="P31" s="4"/>
      <c r="Q31" s="4"/>
    </row>
    <row r="32" spans="2:25">
      <c r="H32" s="21"/>
      <c r="I32" s="16"/>
      <c r="J32" s="16"/>
      <c r="K32" s="16"/>
      <c r="L32" s="16"/>
      <c r="M32" s="30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8:25">
      <c r="H33" s="165" t="s">
        <v>23</v>
      </c>
      <c r="I33" s="28" t="s">
        <v>19</v>
      </c>
      <c r="J33" s="28">
        <v>1.589</v>
      </c>
      <c r="K33" s="28">
        <v>1.286</v>
      </c>
      <c r="L33" s="28"/>
      <c r="M33" s="29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8:25">
      <c r="H34" s="166"/>
      <c r="I34" s="16" t="s">
        <v>21</v>
      </c>
      <c r="J34" s="16">
        <v>1.1299999999999999</v>
      </c>
      <c r="K34" s="16">
        <v>1.1299999999999999</v>
      </c>
      <c r="L34" s="16">
        <v>1.1000000000000001</v>
      </c>
      <c r="M34" s="30">
        <v>1.21</v>
      </c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8:25">
      <c r="H35" s="166"/>
      <c r="I35" s="31" t="s">
        <v>79</v>
      </c>
      <c r="J35" s="31">
        <v>0.97</v>
      </c>
      <c r="K35" s="31">
        <v>0.97</v>
      </c>
      <c r="L35" s="31">
        <v>0.97</v>
      </c>
      <c r="M35" s="31">
        <v>0.97</v>
      </c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8:25">
      <c r="H36" s="123"/>
      <c r="I36" s="16"/>
      <c r="J36" s="16"/>
      <c r="K36" s="16"/>
      <c r="L36" s="16"/>
      <c r="M36" s="16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8:25">
      <c r="H37" s="130"/>
      <c r="I37" s="16"/>
      <c r="J37" s="16"/>
      <c r="K37" s="16"/>
      <c r="L37" s="16"/>
      <c r="M37" s="16"/>
      <c r="N37" s="31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8:25">
      <c r="H38" s="128"/>
      <c r="I38" s="29"/>
      <c r="J38" s="118" t="s">
        <v>0</v>
      </c>
      <c r="K38" s="28" t="s">
        <v>1</v>
      </c>
      <c r="L38" s="28" t="s">
        <v>2</v>
      </c>
      <c r="M38" s="29" t="s">
        <v>3</v>
      </c>
      <c r="N38" s="16" t="s">
        <v>0</v>
      </c>
      <c r="O38" s="28" t="s">
        <v>1</v>
      </c>
      <c r="P38" s="28" t="s">
        <v>2</v>
      </c>
      <c r="Q38" s="29" t="s">
        <v>3</v>
      </c>
      <c r="R38" s="28" t="s">
        <v>0</v>
      </c>
      <c r="S38" s="28" t="s">
        <v>1</v>
      </c>
      <c r="T38" s="28" t="s">
        <v>2</v>
      </c>
      <c r="U38" s="29" t="s">
        <v>3</v>
      </c>
      <c r="V38" s="28" t="s">
        <v>0</v>
      </c>
      <c r="W38" s="28" t="s">
        <v>1</v>
      </c>
      <c r="X38" s="28" t="s">
        <v>2</v>
      </c>
      <c r="Y38" s="29" t="s">
        <v>3</v>
      </c>
    </row>
    <row r="39" spans="8:25">
      <c r="H39" s="35"/>
      <c r="I39" s="30"/>
      <c r="J39" s="116" t="s">
        <v>50</v>
      </c>
      <c r="K39" s="28"/>
      <c r="L39" s="28"/>
      <c r="M39" s="29"/>
      <c r="N39" s="28" t="s">
        <v>51</v>
      </c>
      <c r="O39" s="28"/>
      <c r="P39" s="28"/>
      <c r="Q39" s="29"/>
      <c r="R39" s="117" t="s">
        <v>58</v>
      </c>
      <c r="S39" s="28"/>
      <c r="T39" s="28"/>
      <c r="U39" s="29"/>
      <c r="V39" s="117" t="s">
        <v>115</v>
      </c>
      <c r="W39" s="28"/>
      <c r="X39" s="28"/>
      <c r="Y39" s="29"/>
    </row>
    <row r="40" spans="8:25">
      <c r="H40" s="166" t="s">
        <v>22</v>
      </c>
      <c r="I40" s="29" t="s">
        <v>16</v>
      </c>
      <c r="J40" s="27">
        <f>DriverExp($C$9)</f>
        <v>1</v>
      </c>
      <c r="K40" s="28">
        <f>DriverExp($C$9)</f>
        <v>1</v>
      </c>
      <c r="L40" s="28">
        <f>DriverExp($C$9)</f>
        <v>1</v>
      </c>
      <c r="M40" s="29">
        <f>DriverExp($C$9)</f>
        <v>1</v>
      </c>
      <c r="N40" s="28">
        <v>1</v>
      </c>
      <c r="O40" s="28">
        <v>1</v>
      </c>
      <c r="P40" s="28">
        <v>1</v>
      </c>
      <c r="Q40" s="29">
        <v>1</v>
      </c>
      <c r="R40" s="28">
        <v>1</v>
      </c>
      <c r="S40" s="28">
        <v>1</v>
      </c>
      <c r="T40" s="28">
        <v>1</v>
      </c>
      <c r="U40" s="29">
        <v>1</v>
      </c>
      <c r="V40" s="28"/>
      <c r="W40" s="28"/>
      <c r="X40" s="28"/>
      <c r="Y40" s="29"/>
    </row>
    <row r="41" spans="8:25">
      <c r="H41" s="166"/>
      <c r="I41" s="30" t="s">
        <v>56</v>
      </c>
      <c r="J41" s="21">
        <v>1.0178697999999999</v>
      </c>
      <c r="K41" s="21">
        <v>1.0178697999999999</v>
      </c>
      <c r="L41" s="21">
        <v>1.0178697999999999</v>
      </c>
      <c r="M41" s="21">
        <v>1.0178697999999999</v>
      </c>
      <c r="N41" s="16">
        <v>1.0130216000000001</v>
      </c>
      <c r="O41" s="16">
        <v>1.0130216000000001</v>
      </c>
      <c r="P41" s="16">
        <v>1.0130216000000001</v>
      </c>
      <c r="Q41" s="16">
        <v>1.0130216000000001</v>
      </c>
      <c r="R41" s="16">
        <v>1.2671237</v>
      </c>
      <c r="S41" s="16">
        <v>1.2671237</v>
      </c>
      <c r="T41" s="16">
        <v>1.2671237</v>
      </c>
      <c r="U41" s="16">
        <v>1.2671237</v>
      </c>
      <c r="V41" s="16"/>
      <c r="W41" s="16"/>
      <c r="X41" s="16"/>
      <c r="Y41" s="30"/>
    </row>
    <row r="42" spans="8:25">
      <c r="H42" s="167"/>
      <c r="I42" s="32" t="s">
        <v>17</v>
      </c>
      <c r="J42" s="21">
        <v>1</v>
      </c>
      <c r="K42" s="16">
        <v>1</v>
      </c>
      <c r="L42" s="16">
        <v>1</v>
      </c>
      <c r="M42" s="30">
        <v>1</v>
      </c>
      <c r="N42" s="16">
        <v>1.9</v>
      </c>
      <c r="O42" s="16">
        <v>1.9</v>
      </c>
      <c r="P42" s="16">
        <v>1.63</v>
      </c>
      <c r="Q42" s="30">
        <v>2.1800000000000002</v>
      </c>
      <c r="R42" s="16">
        <v>1</v>
      </c>
      <c r="S42" s="16">
        <v>1</v>
      </c>
      <c r="T42" s="16">
        <v>1</v>
      </c>
      <c r="U42" s="30">
        <v>1</v>
      </c>
      <c r="V42" s="16"/>
      <c r="W42" s="16"/>
      <c r="X42" s="16"/>
      <c r="Y42" s="30"/>
    </row>
    <row r="43" spans="8:25">
      <c r="H43" s="123"/>
      <c r="I43" s="28"/>
      <c r="J43" s="28">
        <f>J41</f>
        <v>1.0178697999999999</v>
      </c>
      <c r="K43" s="28">
        <f>K41</f>
        <v>1.0178697999999999</v>
      </c>
      <c r="L43" s="28">
        <f>L41</f>
        <v>1.0178697999999999</v>
      </c>
      <c r="M43" s="28">
        <f>M41</f>
        <v>1.0178697999999999</v>
      </c>
      <c r="N43" s="28">
        <f>N40*N41*N42</f>
        <v>1.92474104</v>
      </c>
      <c r="O43" s="28">
        <f>O40*O41*O42</f>
        <v>1.92474104</v>
      </c>
      <c r="P43" s="28">
        <f>P41*P42</f>
        <v>1.6512252080000001</v>
      </c>
      <c r="Q43" s="28">
        <f>Q41*Q42</f>
        <v>2.2083870880000003</v>
      </c>
      <c r="R43" s="16">
        <v>1.2671237</v>
      </c>
      <c r="S43" s="16">
        <v>1.2671237</v>
      </c>
      <c r="T43" s="16">
        <v>1.2671237</v>
      </c>
      <c r="U43" s="16">
        <v>1.2671237</v>
      </c>
      <c r="V43" s="28"/>
      <c r="W43" s="28"/>
      <c r="X43" s="28"/>
      <c r="Y43" s="28"/>
    </row>
    <row r="44" spans="8:25">
      <c r="H44" s="124" t="s">
        <v>150</v>
      </c>
      <c r="I44" s="31"/>
      <c r="J44" s="31">
        <f>(J43+N43+R43)/3</f>
        <v>1.4032448466666665</v>
      </c>
      <c r="K44" s="31">
        <f>(K43+O43+S43)/3</f>
        <v>1.4032448466666665</v>
      </c>
      <c r="L44" s="31">
        <f>(L43+P43+T43)/3</f>
        <v>1.3120729026666667</v>
      </c>
      <c r="M44" s="31">
        <f>(M43+Q43+U43)/3</f>
        <v>1.4977935293333333</v>
      </c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</row>
    <row r="45" spans="8:25">
      <c r="H45" s="129"/>
      <c r="I45" s="16"/>
      <c r="J45" s="27" t="s">
        <v>0</v>
      </c>
      <c r="K45" s="28" t="s">
        <v>1</v>
      </c>
      <c r="L45" s="28" t="s">
        <v>2</v>
      </c>
      <c r="M45" s="29" t="s">
        <v>3</v>
      </c>
      <c r="N45" s="27" t="s">
        <v>0</v>
      </c>
      <c r="O45" s="28" t="s">
        <v>1</v>
      </c>
      <c r="P45" s="28" t="s">
        <v>2</v>
      </c>
      <c r="Q45" s="29" t="s">
        <v>3</v>
      </c>
      <c r="R45" s="27" t="s">
        <v>0</v>
      </c>
      <c r="S45" s="28" t="s">
        <v>1</v>
      </c>
      <c r="T45" s="28" t="s">
        <v>2</v>
      </c>
      <c r="U45" s="29" t="s">
        <v>3</v>
      </c>
      <c r="V45" s="27" t="s">
        <v>0</v>
      </c>
      <c r="W45" s="28" t="s">
        <v>1</v>
      </c>
      <c r="X45" s="28" t="s">
        <v>2</v>
      </c>
      <c r="Y45" s="29" t="s">
        <v>3</v>
      </c>
    </row>
    <row r="46" spans="8:25">
      <c r="H46" s="21"/>
      <c r="I46" s="16"/>
      <c r="J46" s="126" t="s">
        <v>52</v>
      </c>
      <c r="K46" s="16"/>
      <c r="L46" s="16"/>
      <c r="M46" s="16"/>
      <c r="N46" s="126" t="s">
        <v>53</v>
      </c>
      <c r="R46" s="126" t="s">
        <v>57</v>
      </c>
      <c r="V46" s="126" t="s">
        <v>118</v>
      </c>
      <c r="Y46" s="120"/>
    </row>
    <row r="47" spans="8:25">
      <c r="H47" s="165" t="s">
        <v>24</v>
      </c>
      <c r="I47" s="29" t="s">
        <v>25</v>
      </c>
      <c r="J47" s="27"/>
      <c r="K47" s="28"/>
      <c r="L47" s="28">
        <v>1.3</v>
      </c>
      <c r="M47" s="29">
        <v>1.22</v>
      </c>
      <c r="N47" s="27"/>
      <c r="O47" s="28"/>
      <c r="P47" s="28">
        <v>1</v>
      </c>
      <c r="Q47" s="29">
        <v>0.84</v>
      </c>
      <c r="R47" s="27"/>
      <c r="S47" s="28"/>
      <c r="T47" s="28"/>
      <c r="U47" s="29"/>
      <c r="V47" s="27"/>
      <c r="W47" s="28"/>
      <c r="X47" s="28"/>
      <c r="Y47" s="29"/>
    </row>
    <row r="48" spans="8:25">
      <c r="H48" s="166"/>
      <c r="I48" s="30" t="s">
        <v>26</v>
      </c>
      <c r="J48" s="21">
        <v>1.04</v>
      </c>
      <c r="K48" s="16">
        <v>1.05</v>
      </c>
      <c r="L48" s="16">
        <v>1.248</v>
      </c>
      <c r="M48" s="30">
        <v>1.373</v>
      </c>
      <c r="N48" s="21">
        <v>1</v>
      </c>
      <c r="O48" s="16">
        <v>1</v>
      </c>
      <c r="P48" s="16">
        <v>0.874</v>
      </c>
      <c r="Q48" s="30">
        <v>0.75</v>
      </c>
      <c r="R48" s="21"/>
      <c r="S48" s="16"/>
      <c r="T48" s="16"/>
      <c r="U48" s="30"/>
      <c r="V48" s="21"/>
      <c r="W48" s="16"/>
      <c r="X48" s="16"/>
      <c r="Y48" s="30"/>
    </row>
    <row r="49" spans="8:25">
      <c r="H49" s="166"/>
      <c r="I49" s="30" t="s">
        <v>27</v>
      </c>
      <c r="J49" s="21">
        <v>1.1299999999999999</v>
      </c>
      <c r="K49" s="16">
        <v>1.1000000000000001</v>
      </c>
      <c r="L49" s="16">
        <v>1.35</v>
      </c>
      <c r="M49" s="30">
        <v>1.45</v>
      </c>
      <c r="N49">
        <v>0.97</v>
      </c>
      <c r="O49">
        <v>0.98</v>
      </c>
      <c r="P49">
        <v>0.95</v>
      </c>
      <c r="Q49">
        <v>0.93</v>
      </c>
      <c r="R49" s="21"/>
      <c r="S49" s="16"/>
      <c r="T49" s="16"/>
      <c r="U49" s="30"/>
      <c r="V49" s="21"/>
      <c r="W49" s="16"/>
      <c r="X49" s="16"/>
      <c r="Y49" s="30"/>
    </row>
    <row r="50" spans="8:25">
      <c r="H50" s="166"/>
      <c r="I50" s="30" t="s">
        <v>84</v>
      </c>
      <c r="J50" s="21">
        <v>0.98</v>
      </c>
      <c r="K50" s="16">
        <v>0.97499999999999998</v>
      </c>
      <c r="L50" s="16">
        <v>1</v>
      </c>
      <c r="M50" s="30">
        <v>1</v>
      </c>
      <c r="N50" s="21">
        <v>1</v>
      </c>
      <c r="O50" s="16">
        <v>1</v>
      </c>
      <c r="P50" s="16">
        <v>1</v>
      </c>
      <c r="Q50" s="30">
        <v>1</v>
      </c>
      <c r="R50" s="21"/>
      <c r="S50" s="16"/>
      <c r="T50" s="16"/>
      <c r="U50" s="30"/>
      <c r="V50" s="21"/>
      <c r="W50" s="16"/>
      <c r="X50" s="16"/>
      <c r="Y50" s="30"/>
    </row>
    <row r="51" spans="8:25">
      <c r="H51" s="166"/>
      <c r="I51" s="30" t="s">
        <v>55</v>
      </c>
      <c r="J51" s="127"/>
      <c r="K51" s="16"/>
      <c r="L51" s="16"/>
      <c r="M51" s="30"/>
      <c r="N51" s="127"/>
      <c r="O51" s="16"/>
      <c r="P51" s="16"/>
      <c r="Q51" s="30"/>
      <c r="R51" s="127"/>
      <c r="S51" s="16"/>
      <c r="T51" s="16"/>
      <c r="U51" s="30"/>
      <c r="V51" s="127"/>
      <c r="W51" s="16"/>
      <c r="X51" s="16"/>
      <c r="Y51" s="30"/>
    </row>
    <row r="52" spans="8:25">
      <c r="H52" s="33"/>
      <c r="I52" s="32" t="s">
        <v>28</v>
      </c>
      <c r="J52" s="125">
        <f>120*J33*J34*J35*J44*J48*J49*J50</f>
        <v>337.7743255303638</v>
      </c>
      <c r="K52" s="114">
        <f>K31*K33*K34*K35*K44*K48*K49*K50</f>
        <v>334.11999119904874</v>
      </c>
      <c r="L52" s="114">
        <f>L31*L34*L35*L44*L48*L49*L47</f>
        <v>643.92218299021101</v>
      </c>
      <c r="M52" s="115">
        <f>M31*M34*M35*M44*M47*M48*M49</f>
        <v>1451.7316386076084</v>
      </c>
      <c r="N52" s="125">
        <f>J31*J33*J34*J35*J44*N49</f>
        <v>284.48574603406877</v>
      </c>
      <c r="O52" s="114">
        <f>K31*K33*K34*K35*K44*O49</f>
        <v>290.76487190593201</v>
      </c>
      <c r="P52" s="114">
        <f>L31*L34*L35*L44*P48*P49</f>
        <v>244.10502435202179</v>
      </c>
      <c r="Q52" s="115">
        <f>M31*M34*M35*M44*Q48*Q49*Q47</f>
        <v>350.19623262499613</v>
      </c>
      <c r="R52" s="125">
        <f>J31*J34*J33*J35*J44*R48*R49</f>
        <v>0</v>
      </c>
      <c r="S52" s="114">
        <f>K31*K33*K34*K35*K44*S48*S49</f>
        <v>0</v>
      </c>
      <c r="T52" s="114">
        <f>L31*L34*L35*L44*T47*T48*T49</f>
        <v>0</v>
      </c>
      <c r="U52" s="115">
        <f>M31*M34*M35*M44*U47*U48*U49</f>
        <v>0</v>
      </c>
      <c r="V52" s="125">
        <f>Total_BI(J31,F44,V46)</f>
        <v>0</v>
      </c>
      <c r="W52" s="114">
        <f>Total_PD(K31,F44,V46)</f>
        <v>0</v>
      </c>
      <c r="X52" s="114">
        <f>Total_COMP(L31,F44,V46)</f>
        <v>0</v>
      </c>
      <c r="Y52" s="115">
        <f>Total_COLL(M31,F44,V46)</f>
        <v>0</v>
      </c>
    </row>
    <row r="53" spans="8:25">
      <c r="H53" s="27"/>
      <c r="I53" s="28"/>
      <c r="J53" s="28"/>
      <c r="K53" s="28"/>
      <c r="L53" s="28"/>
      <c r="M53" s="29"/>
      <c r="N53" s="28"/>
      <c r="O53" s="28"/>
      <c r="P53" s="28"/>
      <c r="Q53" s="29"/>
      <c r="R53" s="28"/>
      <c r="S53" s="28"/>
      <c r="T53" s="28"/>
      <c r="U53" s="29"/>
      <c r="V53" s="28"/>
      <c r="W53" s="28"/>
      <c r="X53" s="28"/>
      <c r="Y53" s="29"/>
    </row>
    <row r="54" spans="8:25">
      <c r="H54" s="33"/>
      <c r="I54" s="31" t="s">
        <v>94</v>
      </c>
      <c r="J54" s="168">
        <v>30</v>
      </c>
      <c r="K54" s="168"/>
      <c r="L54" s="168"/>
      <c r="M54" s="169"/>
      <c r="N54" s="168" t="s">
        <v>97</v>
      </c>
      <c r="O54" s="168"/>
      <c r="P54" s="168"/>
      <c r="Q54" s="169"/>
      <c r="R54" s="168" t="s">
        <v>97</v>
      </c>
      <c r="S54" s="168"/>
      <c r="T54" s="168"/>
      <c r="U54" s="169"/>
      <c r="V54" s="168" t="s">
        <v>97</v>
      </c>
      <c r="W54" s="168"/>
      <c r="X54" s="168"/>
      <c r="Y54" s="169"/>
    </row>
    <row r="55" spans="8:25">
      <c r="H55" s="16"/>
      <c r="I55" s="16" t="s">
        <v>121</v>
      </c>
      <c r="J55" s="101">
        <f>SUM(J52:Y52,30)</f>
        <v>3967.1000132442505</v>
      </c>
      <c r="K55" s="101"/>
      <c r="L55" s="101"/>
      <c r="M55" s="101"/>
    </row>
    <row r="57" spans="8:25">
      <c r="H57" s="164" t="s">
        <v>151</v>
      </c>
      <c r="I57" s="163"/>
      <c r="J57" s="163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</row>
    <row r="58" spans="8:25">
      <c r="H58" s="144"/>
      <c r="I58" s="143"/>
      <c r="J58" s="143" t="s">
        <v>0</v>
      </c>
      <c r="K58" s="143" t="s">
        <v>1</v>
      </c>
      <c r="L58" s="143" t="s">
        <v>2</v>
      </c>
      <c r="M58" s="142" t="s">
        <v>3</v>
      </c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</row>
    <row r="59" spans="8:25">
      <c r="H59" s="151"/>
      <c r="I59" s="139" t="s">
        <v>4</v>
      </c>
      <c r="J59" s="138">
        <v>120</v>
      </c>
      <c r="K59" s="138">
        <v>150</v>
      </c>
      <c r="L59" s="138">
        <v>210</v>
      </c>
      <c r="M59" s="162">
        <v>340</v>
      </c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</row>
    <row r="60" spans="8:25">
      <c r="H60" s="151"/>
      <c r="I60" s="139"/>
      <c r="J60" s="139"/>
      <c r="K60" s="139"/>
      <c r="L60" s="139"/>
      <c r="M60" s="149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</row>
    <row r="61" spans="8:25">
      <c r="H61" s="174" t="s">
        <v>23</v>
      </c>
      <c r="I61" s="143" t="s">
        <v>19</v>
      </c>
      <c r="J61" s="143">
        <v>1.153</v>
      </c>
      <c r="K61" s="143">
        <v>1.0580000000000001</v>
      </c>
      <c r="L61" s="143"/>
      <c r="M61" s="142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</row>
    <row r="62" spans="8:25">
      <c r="H62" s="175"/>
      <c r="I62" s="139" t="s">
        <v>21</v>
      </c>
      <c r="J62" s="139">
        <v>1.03</v>
      </c>
      <c r="K62" s="139">
        <v>1.03</v>
      </c>
      <c r="L62" s="139">
        <v>0.95</v>
      </c>
      <c r="M62" s="149">
        <v>1</v>
      </c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</row>
    <row r="63" spans="8:25">
      <c r="H63" s="175"/>
      <c r="I63" s="140" t="s">
        <v>79</v>
      </c>
      <c r="J63" s="140">
        <v>1</v>
      </c>
      <c r="K63" s="140">
        <v>1</v>
      </c>
      <c r="L63" s="140">
        <v>1</v>
      </c>
      <c r="M63" s="140">
        <v>1</v>
      </c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</row>
    <row r="64" spans="8:25">
      <c r="H64" s="155"/>
      <c r="I64" s="139"/>
      <c r="J64" s="139"/>
      <c r="K64" s="139"/>
      <c r="L64" s="139"/>
      <c r="M64" s="139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</row>
    <row r="65" spans="8:25">
      <c r="H65" s="161"/>
      <c r="I65" s="139"/>
      <c r="J65" s="139"/>
      <c r="K65" s="139"/>
      <c r="L65" s="139"/>
      <c r="M65" s="139"/>
      <c r="N65" s="140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</row>
    <row r="66" spans="8:25">
      <c r="H66" s="160"/>
      <c r="I66" s="142"/>
      <c r="J66" s="159" t="s">
        <v>0</v>
      </c>
      <c r="K66" s="143" t="s">
        <v>1</v>
      </c>
      <c r="L66" s="143" t="s">
        <v>2</v>
      </c>
      <c r="M66" s="142" t="s">
        <v>3</v>
      </c>
      <c r="N66" s="139" t="s">
        <v>0</v>
      </c>
      <c r="O66" s="143" t="s">
        <v>1</v>
      </c>
      <c r="P66" s="143" t="s">
        <v>2</v>
      </c>
      <c r="Q66" s="142" t="s">
        <v>3</v>
      </c>
      <c r="R66" s="143" t="s">
        <v>0</v>
      </c>
      <c r="S66" s="143" t="s">
        <v>1</v>
      </c>
      <c r="T66" s="143" t="s">
        <v>2</v>
      </c>
      <c r="U66" s="142" t="s">
        <v>3</v>
      </c>
      <c r="V66" s="143" t="s">
        <v>0</v>
      </c>
      <c r="W66" s="143" t="s">
        <v>1</v>
      </c>
      <c r="X66" s="143" t="s">
        <v>2</v>
      </c>
      <c r="Y66" s="142" t="s">
        <v>3</v>
      </c>
    </row>
    <row r="67" spans="8:25">
      <c r="H67" s="158"/>
      <c r="I67" s="149"/>
      <c r="J67" s="157" t="s">
        <v>50</v>
      </c>
      <c r="K67" s="143"/>
      <c r="L67" s="143"/>
      <c r="M67" s="142"/>
      <c r="N67" s="143" t="s">
        <v>51</v>
      </c>
      <c r="O67" s="143"/>
      <c r="P67" s="143"/>
      <c r="Q67" s="142"/>
      <c r="R67" s="156" t="s">
        <v>58</v>
      </c>
      <c r="S67" s="143"/>
      <c r="T67" s="143"/>
      <c r="U67" s="142"/>
      <c r="V67" s="156" t="s">
        <v>115</v>
      </c>
      <c r="W67" s="143"/>
      <c r="X67" s="143"/>
      <c r="Y67" s="142"/>
    </row>
    <row r="68" spans="8:25">
      <c r="H68" s="175" t="s">
        <v>22</v>
      </c>
      <c r="I68" s="142" t="s">
        <v>16</v>
      </c>
      <c r="J68" s="144">
        <f>DriverExp($C$9)</f>
        <v>1</v>
      </c>
      <c r="K68" s="143">
        <f>DriverExp($C$9)</f>
        <v>1</v>
      </c>
      <c r="L68" s="143">
        <f>DriverExp($C$9)</f>
        <v>1</v>
      </c>
      <c r="M68" s="142">
        <f>DriverExp($C$9)</f>
        <v>1</v>
      </c>
      <c r="N68" s="143"/>
      <c r="O68" s="143"/>
      <c r="P68" s="143"/>
      <c r="Q68" s="142"/>
      <c r="R68" s="143"/>
      <c r="S68" s="143"/>
      <c r="T68" s="143"/>
      <c r="U68" s="142"/>
      <c r="V68" s="143"/>
      <c r="W68" s="143"/>
      <c r="X68" s="143"/>
      <c r="Y68" s="142"/>
    </row>
    <row r="69" spans="8:25">
      <c r="H69" s="175"/>
      <c r="I69" s="149" t="s">
        <v>56</v>
      </c>
      <c r="J69" s="151">
        <v>1.0330298</v>
      </c>
      <c r="K69" s="151">
        <v>1.0330298</v>
      </c>
      <c r="L69" s="151">
        <v>1.0330298</v>
      </c>
      <c r="M69" s="151">
        <v>1.0330298</v>
      </c>
      <c r="N69" s="139"/>
      <c r="O69" s="139"/>
      <c r="P69" s="139"/>
      <c r="Q69" s="139"/>
      <c r="R69" s="139"/>
      <c r="S69" s="139"/>
      <c r="T69" s="139"/>
      <c r="U69" s="149"/>
      <c r="V69" s="139"/>
      <c r="W69" s="139"/>
      <c r="X69" s="139"/>
      <c r="Y69" s="149"/>
    </row>
    <row r="70" spans="8:25">
      <c r="H70" s="176"/>
      <c r="I70" s="148" t="s">
        <v>17</v>
      </c>
      <c r="J70" s="151">
        <v>1</v>
      </c>
      <c r="K70" s="139">
        <v>1</v>
      </c>
      <c r="L70" s="139">
        <v>1</v>
      </c>
      <c r="M70" s="149">
        <v>1</v>
      </c>
      <c r="N70" s="139"/>
      <c r="O70" s="139"/>
      <c r="P70" s="139"/>
      <c r="Q70" s="149"/>
      <c r="R70" s="139"/>
      <c r="S70" s="139"/>
      <c r="T70" s="139"/>
      <c r="U70" s="149"/>
      <c r="V70" s="139"/>
      <c r="W70" s="139"/>
      <c r="X70" s="139"/>
      <c r="Y70" s="149"/>
    </row>
    <row r="71" spans="8:25">
      <c r="H71" s="155"/>
      <c r="I71" s="143"/>
      <c r="J71" s="143">
        <f>J69</f>
        <v>1.0330298</v>
      </c>
      <c r="K71" s="143">
        <f>K69</f>
        <v>1.0330298</v>
      </c>
      <c r="L71" s="143">
        <f>L69</f>
        <v>1.0330298</v>
      </c>
      <c r="M71" s="143">
        <f>M69</f>
        <v>1.0330298</v>
      </c>
      <c r="N71" s="143">
        <f>N68*N69*N70</f>
        <v>0</v>
      </c>
      <c r="O71" s="143">
        <f>O68*O69*O70</f>
        <v>0</v>
      </c>
      <c r="P71" s="143">
        <f>P69*P70</f>
        <v>0</v>
      </c>
      <c r="Q71" s="143">
        <f>Q69*Q70</f>
        <v>0</v>
      </c>
      <c r="R71" s="143"/>
      <c r="S71" s="143"/>
      <c r="T71" s="143"/>
      <c r="U71" s="143"/>
      <c r="V71" s="143"/>
      <c r="W71" s="143"/>
      <c r="X71" s="143"/>
      <c r="Y71" s="143"/>
    </row>
    <row r="72" spans="8:25">
      <c r="H72" s="154" t="s">
        <v>150</v>
      </c>
      <c r="I72" s="140"/>
      <c r="J72" s="140">
        <f>(J71)</f>
        <v>1.0330298</v>
      </c>
      <c r="K72" s="140">
        <f>K71</f>
        <v>1.0330298</v>
      </c>
      <c r="L72" s="140">
        <f>L71</f>
        <v>1.0330298</v>
      </c>
      <c r="M72" s="140">
        <f>M71</f>
        <v>1.0330298</v>
      </c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</row>
    <row r="73" spans="8:25">
      <c r="H73" s="153"/>
      <c r="I73" s="139"/>
      <c r="J73" s="144" t="s">
        <v>0</v>
      </c>
      <c r="K73" s="143" t="s">
        <v>1</v>
      </c>
      <c r="L73" s="143" t="s">
        <v>2</v>
      </c>
      <c r="M73" s="142" t="s">
        <v>3</v>
      </c>
      <c r="N73" s="144" t="s">
        <v>0</v>
      </c>
      <c r="O73" s="143" t="s">
        <v>1</v>
      </c>
      <c r="P73" s="143" t="s">
        <v>2</v>
      </c>
      <c r="Q73" s="142" t="s">
        <v>3</v>
      </c>
      <c r="R73" s="144" t="s">
        <v>0</v>
      </c>
      <c r="S73" s="143" t="s">
        <v>1</v>
      </c>
      <c r="T73" s="143" t="s">
        <v>2</v>
      </c>
      <c r="U73" s="142" t="s">
        <v>3</v>
      </c>
      <c r="V73" s="144" t="s">
        <v>0</v>
      </c>
      <c r="W73" s="143" t="s">
        <v>1</v>
      </c>
      <c r="X73" s="143" t="s">
        <v>2</v>
      </c>
      <c r="Y73" s="142" t="s">
        <v>3</v>
      </c>
    </row>
    <row r="74" spans="8:25">
      <c r="H74" s="151"/>
      <c r="I74" s="139"/>
      <c r="J74" s="152" t="s">
        <v>52</v>
      </c>
      <c r="K74" s="139"/>
      <c r="L74" s="139"/>
      <c r="M74" s="139"/>
      <c r="N74" s="152" t="s">
        <v>53</v>
      </c>
      <c r="O74" s="137"/>
      <c r="P74" s="137"/>
      <c r="Q74" s="137"/>
      <c r="R74" s="152" t="s">
        <v>57</v>
      </c>
      <c r="S74" s="137"/>
      <c r="T74" s="137"/>
      <c r="U74" s="137"/>
      <c r="V74" s="152" t="s">
        <v>118</v>
      </c>
      <c r="W74" s="137"/>
      <c r="X74" s="137"/>
      <c r="Y74" s="148"/>
    </row>
    <row r="75" spans="8:25">
      <c r="H75" s="174" t="s">
        <v>24</v>
      </c>
      <c r="I75" s="142" t="s">
        <v>25</v>
      </c>
      <c r="J75" s="144"/>
      <c r="K75" s="143"/>
      <c r="L75" s="143">
        <v>1.3</v>
      </c>
      <c r="M75" s="142">
        <v>0.84</v>
      </c>
      <c r="N75" s="144"/>
      <c r="O75" s="143"/>
      <c r="P75" s="143"/>
      <c r="Q75" s="142"/>
      <c r="R75" s="144"/>
      <c r="S75" s="143"/>
      <c r="T75" s="143"/>
      <c r="U75" s="142"/>
      <c r="V75" s="144"/>
      <c r="W75" s="143"/>
      <c r="X75" s="143"/>
      <c r="Y75" s="142"/>
    </row>
    <row r="76" spans="8:25">
      <c r="H76" s="175"/>
      <c r="I76" s="149" t="s">
        <v>26</v>
      </c>
      <c r="J76" s="151">
        <v>1.04</v>
      </c>
      <c r="K76" s="139">
        <v>1.05</v>
      </c>
      <c r="L76" s="139">
        <v>1.248</v>
      </c>
      <c r="M76" s="149">
        <v>1.373</v>
      </c>
      <c r="N76" s="151"/>
      <c r="O76" s="139"/>
      <c r="P76" s="139"/>
      <c r="Q76" s="149"/>
      <c r="R76" s="151"/>
      <c r="S76" s="139"/>
      <c r="T76" s="139"/>
      <c r="U76" s="149"/>
      <c r="V76" s="151"/>
      <c r="W76" s="139"/>
      <c r="X76" s="139"/>
      <c r="Y76" s="149"/>
    </row>
    <row r="77" spans="8:25">
      <c r="H77" s="175"/>
      <c r="I77" s="149" t="s">
        <v>27</v>
      </c>
      <c r="J77" s="151">
        <v>1</v>
      </c>
      <c r="K77" s="139">
        <v>1</v>
      </c>
      <c r="L77" s="139">
        <v>1.07</v>
      </c>
      <c r="M77" s="149">
        <v>1.1599999999999999</v>
      </c>
      <c r="N77" s="137"/>
      <c r="O77" s="137"/>
      <c r="P77" s="137"/>
      <c r="Q77" s="137"/>
      <c r="R77" s="151"/>
      <c r="S77" s="139"/>
      <c r="T77" s="139"/>
      <c r="U77" s="149"/>
      <c r="V77" s="151"/>
      <c r="W77" s="139"/>
      <c r="X77" s="139"/>
      <c r="Y77" s="149"/>
    </row>
    <row r="78" spans="8:25">
      <c r="H78" s="175"/>
      <c r="I78" s="149" t="s">
        <v>84</v>
      </c>
      <c r="J78" s="151">
        <v>1</v>
      </c>
      <c r="K78" s="139">
        <v>1</v>
      </c>
      <c r="L78" s="139">
        <v>1</v>
      </c>
      <c r="M78" s="149">
        <v>1</v>
      </c>
      <c r="N78" s="151"/>
      <c r="O78" s="139"/>
      <c r="P78" s="139"/>
      <c r="Q78" s="149"/>
      <c r="R78" s="151"/>
      <c r="S78" s="139"/>
      <c r="T78" s="139"/>
      <c r="U78" s="149"/>
      <c r="V78" s="151"/>
      <c r="W78" s="139"/>
      <c r="X78" s="139"/>
      <c r="Y78" s="149"/>
    </row>
    <row r="79" spans="8:25">
      <c r="H79" s="175"/>
      <c r="I79" s="149" t="s">
        <v>55</v>
      </c>
      <c r="J79" s="150"/>
      <c r="K79" s="139"/>
      <c r="L79" s="139"/>
      <c r="M79" s="149"/>
      <c r="N79" s="150"/>
      <c r="O79" s="139"/>
      <c r="P79" s="139"/>
      <c r="Q79" s="149"/>
      <c r="R79" s="150"/>
      <c r="S79" s="139"/>
      <c r="T79" s="139"/>
      <c r="U79" s="149"/>
      <c r="V79" s="150"/>
      <c r="W79" s="139"/>
      <c r="X79" s="139"/>
      <c r="Y79" s="149"/>
    </row>
    <row r="80" spans="8:25">
      <c r="H80" s="141"/>
      <c r="I80" s="148" t="s">
        <v>28</v>
      </c>
      <c r="J80" s="147">
        <f>120*J61*J62*J63*J72*J76</f>
        <v>153.1066193507136</v>
      </c>
      <c r="K80" s="146">
        <f>K59*K61*K62*K63*K72*K76</f>
        <v>177.30308834469002</v>
      </c>
      <c r="L80" s="146">
        <f>L59*L62*L63*L72*L76*L77*L75</f>
        <v>357.76468183135688</v>
      </c>
      <c r="M80" s="145">
        <f>M59*M62*M63*M72*M75*M76*M77</f>
        <v>469.89365357235835</v>
      </c>
      <c r="N80" s="147"/>
      <c r="O80" s="146"/>
      <c r="P80" s="146">
        <f>L59*L62*L63*L72*P76*P77</f>
        <v>0</v>
      </c>
      <c r="Q80" s="145">
        <f>M59*M62*M63*M72*Q76*Q77</f>
        <v>0</v>
      </c>
      <c r="R80" s="147">
        <f>J59*J62*J61*J63*J72*R76*R77</f>
        <v>0</v>
      </c>
      <c r="S80" s="146">
        <f>K59*K61*K62*K63*K72*S76*S77</f>
        <v>0</v>
      </c>
      <c r="T80" s="146">
        <f>L59*L62*L63*L72*T75*T76*T77</f>
        <v>0</v>
      </c>
      <c r="U80" s="145">
        <f>M59*M62*M63*M72*U75*U76*U77</f>
        <v>0</v>
      </c>
      <c r="V80" s="147">
        <f>Total_BI(J59,F72,V74)</f>
        <v>0</v>
      </c>
      <c r="W80" s="146">
        <f>Total_PD(K59,F72,V74)</f>
        <v>0</v>
      </c>
      <c r="X80" s="146">
        <f>Total_COMP(L59,F72,V74)</f>
        <v>0</v>
      </c>
      <c r="Y80" s="145">
        <f>Total_COLL(M59,F72,V74)</f>
        <v>0</v>
      </c>
    </row>
    <row r="81" spans="8:25">
      <c r="H81" s="144"/>
      <c r="I81" s="143"/>
      <c r="J81" s="143"/>
      <c r="K81" s="143"/>
      <c r="L81" s="143"/>
      <c r="M81" s="142"/>
      <c r="N81" s="143"/>
      <c r="O81" s="143"/>
      <c r="P81" s="143"/>
      <c r="Q81" s="142"/>
      <c r="R81" s="143"/>
      <c r="S81" s="143"/>
      <c r="T81" s="143"/>
      <c r="U81" s="142"/>
      <c r="V81" s="143"/>
      <c r="W81" s="143"/>
      <c r="X81" s="143"/>
      <c r="Y81" s="142"/>
    </row>
    <row r="82" spans="8:25">
      <c r="H82" s="141"/>
      <c r="I82" s="140" t="s">
        <v>94</v>
      </c>
      <c r="J82" s="177">
        <v>30</v>
      </c>
      <c r="K82" s="177"/>
      <c r="L82" s="177"/>
      <c r="M82" s="178"/>
      <c r="N82" s="177" t="s">
        <v>97</v>
      </c>
      <c r="O82" s="177"/>
      <c r="P82" s="177"/>
      <c r="Q82" s="178"/>
      <c r="R82" s="177" t="s">
        <v>97</v>
      </c>
      <c r="S82" s="177"/>
      <c r="T82" s="177"/>
      <c r="U82" s="178"/>
      <c r="V82" s="177" t="s">
        <v>97</v>
      </c>
      <c r="W82" s="177"/>
      <c r="X82" s="177"/>
      <c r="Y82" s="178"/>
    </row>
    <row r="83" spans="8:25">
      <c r="H83" s="139"/>
      <c r="I83" s="139" t="s">
        <v>121</v>
      </c>
      <c r="J83" s="138">
        <f>SUM(J80:Y80,30)</f>
        <v>1188.0680430991188</v>
      </c>
      <c r="K83" s="138"/>
      <c r="L83" s="138"/>
      <c r="M83" s="138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</row>
  </sheetData>
  <mergeCells count="21">
    <mergeCell ref="V82:Y82"/>
    <mergeCell ref="H68:H70"/>
    <mergeCell ref="H75:H79"/>
    <mergeCell ref="J82:M82"/>
    <mergeCell ref="N82:Q82"/>
    <mergeCell ref="R82:U82"/>
    <mergeCell ref="R27:U27"/>
    <mergeCell ref="V27:Y27"/>
    <mergeCell ref="H33:H35"/>
    <mergeCell ref="H40:H42"/>
    <mergeCell ref="H47:H51"/>
    <mergeCell ref="J54:M54"/>
    <mergeCell ref="N54:Q54"/>
    <mergeCell ref="R54:U54"/>
    <mergeCell ref="V54:Y54"/>
    <mergeCell ref="H61:H63"/>
    <mergeCell ref="H6:H8"/>
    <mergeCell ref="H13:H15"/>
    <mergeCell ref="H20:H24"/>
    <mergeCell ref="J27:M27"/>
    <mergeCell ref="N27:Q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Y95"/>
  <sheetViews>
    <sheetView zoomScale="90" zoomScaleNormal="100" workbookViewId="0">
      <selection activeCell="L87" sqref="L87"/>
    </sheetView>
  </sheetViews>
  <sheetFormatPr baseColWidth="10" defaultColWidth="8.83203125" defaultRowHeight="15"/>
  <cols>
    <col min="2" max="2" width="27.5" customWidth="1"/>
    <col min="3" max="3" width="21.6640625" customWidth="1"/>
    <col min="4" max="4" width="20.1640625" customWidth="1"/>
    <col min="5" max="5" width="16.1640625" customWidth="1"/>
    <col min="6" max="6" width="18.1640625" customWidth="1"/>
    <col min="8" max="8" width="10.5" customWidth="1"/>
    <col min="9" max="9" width="24.83203125" customWidth="1"/>
    <col min="10" max="10" width="12" customWidth="1"/>
    <col min="11" max="11" width="12.5" customWidth="1"/>
    <col min="12" max="12" width="11.33203125" customWidth="1"/>
    <col min="13" max="13" width="11.83203125" customWidth="1"/>
    <col min="14" max="14" width="12.33203125" customWidth="1"/>
    <col min="15" max="15" width="12.5" customWidth="1"/>
    <col min="16" max="16" width="11.33203125" customWidth="1"/>
    <col min="17" max="17" width="12.33203125" customWidth="1"/>
  </cols>
  <sheetData>
    <row r="1" spans="2:25" ht="16" thickBot="1">
      <c r="B1" s="1"/>
      <c r="C1" s="10"/>
      <c r="D1" s="10"/>
      <c r="E1" s="10"/>
      <c r="F1" s="10"/>
      <c r="G1" s="10"/>
      <c r="H1" s="10"/>
      <c r="I1" s="10"/>
      <c r="J1" s="10"/>
    </row>
    <row r="2" spans="2:25" ht="20" thickBot="1">
      <c r="B2" s="70" t="s">
        <v>77</v>
      </c>
      <c r="C2" s="96"/>
      <c r="D2" s="71"/>
      <c r="E2" s="71"/>
      <c r="F2" s="72"/>
      <c r="H2" s="26" t="s">
        <v>48</v>
      </c>
      <c r="I2" s="10"/>
      <c r="J2" s="10"/>
    </row>
    <row r="3" spans="2:25" ht="19">
      <c r="B3" s="95" t="s">
        <v>43</v>
      </c>
      <c r="C3" s="103" t="s">
        <v>9</v>
      </c>
      <c r="D3" s="74"/>
      <c r="E3" s="74"/>
      <c r="F3" s="75"/>
      <c r="H3" s="27"/>
      <c r="I3" s="28"/>
      <c r="J3" s="28" t="s">
        <v>0</v>
      </c>
      <c r="K3" s="28" t="s">
        <v>1</v>
      </c>
      <c r="L3" s="28" t="s">
        <v>2</v>
      </c>
      <c r="M3" s="29" t="s">
        <v>3</v>
      </c>
    </row>
    <row r="4" spans="2:25" ht="19">
      <c r="B4" s="95" t="s">
        <v>44</v>
      </c>
      <c r="C4" s="104" t="s">
        <v>122</v>
      </c>
      <c r="D4" s="74"/>
      <c r="E4" s="74"/>
      <c r="F4" s="75"/>
      <c r="H4" s="21"/>
      <c r="I4" s="16" t="s">
        <v>4</v>
      </c>
      <c r="J4" s="101">
        <v>120</v>
      </c>
      <c r="K4" s="101">
        <v>150</v>
      </c>
      <c r="L4" s="101">
        <v>210</v>
      </c>
      <c r="M4" s="102">
        <v>340</v>
      </c>
      <c r="N4" s="4"/>
      <c r="O4" s="4"/>
      <c r="P4" s="4"/>
      <c r="Q4" s="4"/>
    </row>
    <row r="5" spans="2:25" s="4" customFormat="1" ht="19">
      <c r="B5" s="90" t="s">
        <v>21</v>
      </c>
      <c r="C5" s="97" t="s">
        <v>13</v>
      </c>
      <c r="D5" s="76" t="s">
        <v>114</v>
      </c>
      <c r="E5" s="74"/>
      <c r="F5" s="75"/>
      <c r="H5" s="21"/>
      <c r="I5" s="16"/>
      <c r="J5" s="16"/>
      <c r="K5" s="16"/>
      <c r="L5" s="16"/>
      <c r="M5" s="30"/>
    </row>
    <row r="6" spans="2:25" s="4" customFormat="1" ht="19">
      <c r="B6" s="73"/>
      <c r="C6" s="77">
        <v>2</v>
      </c>
      <c r="D6" s="78">
        <v>3</v>
      </c>
      <c r="E6" s="74"/>
      <c r="F6" s="75"/>
      <c r="G6" s="34"/>
      <c r="H6" s="165" t="s">
        <v>23</v>
      </c>
      <c r="I6" s="28" t="s">
        <v>19</v>
      </c>
      <c r="J6" s="28">
        <f>BI_LF($C$3)</f>
        <v>1.589</v>
      </c>
      <c r="K6" s="28">
        <f>PD_LF($C$4)</f>
        <v>1.286</v>
      </c>
      <c r="L6" s="28"/>
      <c r="M6" s="29"/>
    </row>
    <row r="7" spans="2:25" s="4" customFormat="1" ht="20" thickBot="1">
      <c r="B7" s="79" t="s">
        <v>79</v>
      </c>
      <c r="C7" s="80">
        <v>0</v>
      </c>
      <c r="D7" s="81"/>
      <c r="E7" s="81"/>
      <c r="F7" s="82"/>
      <c r="G7" s="34"/>
      <c r="H7" s="166"/>
      <c r="I7" s="16" t="s">
        <v>21</v>
      </c>
      <c r="J7" s="16">
        <f>PD_HHComp(C6,D6)</f>
        <v>1.1299999999999999</v>
      </c>
      <c r="K7" s="16">
        <f>PD_HHComp($C$6,$D$6)</f>
        <v>1.1299999999999999</v>
      </c>
      <c r="L7" s="16">
        <f>COMP_HHComp($C$6,$D$6)</f>
        <v>1.1000000000000001</v>
      </c>
      <c r="M7" s="30">
        <f>COLL_HHComp($C$6,$D$6)</f>
        <v>1.21</v>
      </c>
    </row>
    <row r="8" spans="2:25" s="4" customFormat="1" ht="19">
      <c r="B8" s="73"/>
      <c r="C8" s="83" t="s">
        <v>50</v>
      </c>
      <c r="D8" s="76" t="s">
        <v>51</v>
      </c>
      <c r="E8" s="76" t="s">
        <v>58</v>
      </c>
      <c r="F8" s="84" t="s">
        <v>115</v>
      </c>
      <c r="G8" s="34"/>
      <c r="H8" s="166"/>
      <c r="I8" s="31" t="s">
        <v>79</v>
      </c>
      <c r="J8" s="31">
        <f>AdvShopDis($C$7)</f>
        <v>1</v>
      </c>
      <c r="K8" s="31">
        <f>AdvShopDis($C$7)</f>
        <v>1</v>
      </c>
      <c r="L8" s="31">
        <f>AdvShopDis($C$7)</f>
        <v>1</v>
      </c>
      <c r="M8" s="32">
        <f>AdvShopDis($C$7)</f>
        <v>1</v>
      </c>
    </row>
    <row r="9" spans="2:25" s="4" customFormat="1" ht="19">
      <c r="B9" s="73" t="s">
        <v>116</v>
      </c>
      <c r="C9" s="77">
        <v>28</v>
      </c>
      <c r="D9" s="77">
        <v>27</v>
      </c>
      <c r="E9" s="77">
        <v>5</v>
      </c>
      <c r="F9" s="85"/>
      <c r="G9" s="34"/>
      <c r="H9" s="123"/>
      <c r="I9" s="16"/>
      <c r="J9" s="16"/>
      <c r="K9" s="16"/>
      <c r="L9" s="16"/>
      <c r="M9" s="16"/>
    </row>
    <row r="10" spans="2:25" s="4" customFormat="1" ht="19">
      <c r="B10" s="73" t="s">
        <v>56</v>
      </c>
      <c r="C10" s="77">
        <v>46</v>
      </c>
      <c r="D10" s="77">
        <v>45</v>
      </c>
      <c r="E10" s="77">
        <v>21</v>
      </c>
      <c r="F10" s="85"/>
      <c r="G10" s="34"/>
      <c r="H10" s="100"/>
      <c r="I10" s="16"/>
      <c r="J10" s="16"/>
      <c r="K10" s="16"/>
      <c r="L10" s="16"/>
      <c r="M10" s="16"/>
      <c r="N10" s="31"/>
    </row>
    <row r="11" spans="2:25" ht="20" thickBot="1">
      <c r="B11" s="79" t="s">
        <v>17</v>
      </c>
      <c r="C11" s="86">
        <v>0</v>
      </c>
      <c r="D11" s="86">
        <v>5</v>
      </c>
      <c r="E11" s="86">
        <v>0</v>
      </c>
      <c r="F11" s="87"/>
      <c r="G11" s="2"/>
      <c r="H11" s="98"/>
      <c r="I11" s="29"/>
      <c r="J11" s="118" t="s">
        <v>0</v>
      </c>
      <c r="K11" s="28" t="s">
        <v>1</v>
      </c>
      <c r="L11" s="28" t="s">
        <v>2</v>
      </c>
      <c r="M11" s="29" t="s">
        <v>3</v>
      </c>
      <c r="N11" s="16" t="s">
        <v>0</v>
      </c>
      <c r="O11" s="28" t="s">
        <v>1</v>
      </c>
      <c r="P11" s="28" t="s">
        <v>2</v>
      </c>
      <c r="Q11" s="29" t="s">
        <v>3</v>
      </c>
      <c r="R11" s="28" t="s">
        <v>0</v>
      </c>
      <c r="S11" s="28" t="s">
        <v>1</v>
      </c>
      <c r="T11" s="28" t="s">
        <v>2</v>
      </c>
      <c r="U11" s="29" t="s">
        <v>3</v>
      </c>
      <c r="V11" s="28" t="s">
        <v>0</v>
      </c>
      <c r="W11" s="28" t="s">
        <v>1</v>
      </c>
      <c r="X11" s="28" t="s">
        <v>2</v>
      </c>
      <c r="Y11" s="29" t="s">
        <v>3</v>
      </c>
    </row>
    <row r="12" spans="2:25" ht="19">
      <c r="B12" s="73"/>
      <c r="C12" s="83" t="s">
        <v>52</v>
      </c>
      <c r="D12" s="76" t="s">
        <v>53</v>
      </c>
      <c r="E12" s="76" t="s">
        <v>57</v>
      </c>
      <c r="F12" s="84" t="s">
        <v>118</v>
      </c>
      <c r="H12" s="35"/>
      <c r="I12" s="30"/>
      <c r="J12" s="116" t="s">
        <v>50</v>
      </c>
      <c r="K12" s="28"/>
      <c r="L12" s="28"/>
      <c r="M12" s="29"/>
      <c r="N12" s="28" t="s">
        <v>51</v>
      </c>
      <c r="O12" s="28"/>
      <c r="P12" s="28"/>
      <c r="Q12" s="29"/>
      <c r="R12" s="117" t="s">
        <v>58</v>
      </c>
      <c r="S12" s="28"/>
      <c r="T12" s="28"/>
      <c r="U12" s="29"/>
      <c r="V12" s="117" t="s">
        <v>115</v>
      </c>
      <c r="W12" s="28"/>
      <c r="X12" s="28"/>
      <c r="Y12" s="29"/>
    </row>
    <row r="13" spans="2:25" ht="19">
      <c r="B13" s="95" t="s">
        <v>45</v>
      </c>
      <c r="C13" s="105">
        <v>100</v>
      </c>
      <c r="D13" s="91">
        <v>250</v>
      </c>
      <c r="E13" s="91"/>
      <c r="F13" s="93"/>
      <c r="H13" s="166" t="s">
        <v>22</v>
      </c>
      <c r="I13" s="29" t="s">
        <v>16</v>
      </c>
      <c r="J13" s="27">
        <f>DriverExp($C$9)</f>
        <v>1</v>
      </c>
      <c r="K13" s="28">
        <f>DriverExp($C$9)</f>
        <v>1</v>
      </c>
      <c r="L13" s="28">
        <f>DriverExp($C$9)</f>
        <v>1</v>
      </c>
      <c r="M13" s="29">
        <f>DriverExp($C$9)</f>
        <v>1</v>
      </c>
      <c r="N13" s="28">
        <f>DriverExp($D$9)</f>
        <v>1</v>
      </c>
      <c r="O13" s="28">
        <f>DriverExp($D$9)</f>
        <v>1</v>
      </c>
      <c r="P13" s="28">
        <f>DriverExp($D$9)</f>
        <v>1</v>
      </c>
      <c r="Q13" s="29">
        <f>DriverExp($D$9)</f>
        <v>1</v>
      </c>
      <c r="R13" s="28">
        <f>DriverExp($E$9)</f>
        <v>1</v>
      </c>
      <c r="S13" s="28">
        <f>DriverExp($E$9)</f>
        <v>1</v>
      </c>
      <c r="T13" s="28">
        <f>DriverExp($E$9)</f>
        <v>1</v>
      </c>
      <c r="U13" s="29">
        <f>DriverExp($E$9)</f>
        <v>1</v>
      </c>
      <c r="V13" s="28">
        <f>DriverExp($F$9)</f>
        <v>0</v>
      </c>
      <c r="W13" s="28">
        <f>DriverExp($F$9)</f>
        <v>0</v>
      </c>
      <c r="X13" s="28">
        <f>DriverExp($F$9)</f>
        <v>0</v>
      </c>
      <c r="Y13" s="29">
        <f>DriverExp($F$9)</f>
        <v>0</v>
      </c>
    </row>
    <row r="14" spans="2:25" ht="19">
      <c r="B14" s="95" t="s">
        <v>46</v>
      </c>
      <c r="C14" s="106">
        <v>100</v>
      </c>
      <c r="D14" s="91">
        <v>500</v>
      </c>
      <c r="E14" s="91"/>
      <c r="F14" s="93"/>
      <c r="H14" s="166"/>
      <c r="I14" s="30" t="s">
        <v>56</v>
      </c>
      <c r="J14" s="21">
        <f>AgeFactor($C$10)</f>
        <v>1.0178697876737957</v>
      </c>
      <c r="K14" s="16">
        <f>AgeFactor($C$10)</f>
        <v>1.0178697876737957</v>
      </c>
      <c r="L14" s="16">
        <f>AgeFactor($C$10)</f>
        <v>1.0178697876737957</v>
      </c>
      <c r="M14" s="30">
        <f>AgeFactor($C$10)</f>
        <v>1.0178697876737957</v>
      </c>
      <c r="N14" s="16">
        <f>AgeFactor($D$10)</f>
        <v>1.0130215515342391</v>
      </c>
      <c r="O14" s="16">
        <f>AgeFactor($D$10)</f>
        <v>1.0130215515342391</v>
      </c>
      <c r="P14" s="16">
        <f>AgeFactor($D$10)</f>
        <v>1.0130215515342391</v>
      </c>
      <c r="Q14" s="30">
        <f>AgeFactor($D$10)</f>
        <v>1.0130215515342391</v>
      </c>
      <c r="R14" s="16">
        <f>AgeFactor($E$10)</f>
        <v>1.2671236635380843</v>
      </c>
      <c r="S14" s="16">
        <f>AgeFactor($E$10)</f>
        <v>1.2671236635380843</v>
      </c>
      <c r="T14" s="16">
        <f>AgeFactor($E$10)</f>
        <v>1.2671236635380843</v>
      </c>
      <c r="U14" s="30">
        <f>AgeFactor($E$10)</f>
        <v>1.2671236635380843</v>
      </c>
      <c r="V14" s="16">
        <f>AgeFactor($F$10)</f>
        <v>0</v>
      </c>
      <c r="W14" s="16">
        <f>AgeFactor($F$10)</f>
        <v>0</v>
      </c>
      <c r="X14" s="16">
        <f>AgeFactor($F$10)</f>
        <v>0</v>
      </c>
      <c r="Y14" s="30">
        <f>AgeFactor($F$10)</f>
        <v>0</v>
      </c>
    </row>
    <row r="15" spans="2:25" ht="19">
      <c r="B15" s="95" t="s">
        <v>26</v>
      </c>
      <c r="C15" s="119">
        <v>2018</v>
      </c>
      <c r="D15" s="91">
        <v>2000</v>
      </c>
      <c r="E15" s="91"/>
      <c r="F15" s="93"/>
      <c r="G15" s="2"/>
      <c r="H15" s="167"/>
      <c r="I15" s="32" t="s">
        <v>17</v>
      </c>
      <c r="J15" s="21">
        <f>DriverPoint_BI($C$11)</f>
        <v>1</v>
      </c>
      <c r="K15" s="16">
        <f>DriverPoint_BI($C$11)</f>
        <v>1</v>
      </c>
      <c r="L15" s="16">
        <f>DriverPoint_COMP($C$11)</f>
        <v>1</v>
      </c>
      <c r="M15" s="30">
        <f>DriverPoint_COLL($C$11)</f>
        <v>1</v>
      </c>
      <c r="N15" s="16">
        <f>DriverPoint_BI($D$11)</f>
        <v>1.9</v>
      </c>
      <c r="O15" s="16">
        <f>DriverPoint_BI($D$11)</f>
        <v>1.9</v>
      </c>
      <c r="P15" s="16">
        <f>DriverPoint_COMP($D$11)</f>
        <v>1.6300000000000001</v>
      </c>
      <c r="Q15" s="30">
        <f>DriverPoint_COLL($D$11)</f>
        <v>2.1799999999999997</v>
      </c>
      <c r="R15" s="16">
        <f>DriverPoint_BI($E$11)</f>
        <v>1</v>
      </c>
      <c r="S15" s="16">
        <f>DriverPoint_BI($E$11)</f>
        <v>1</v>
      </c>
      <c r="T15" s="16">
        <f>DriverPoint_COMP($E$11)</f>
        <v>1</v>
      </c>
      <c r="U15" s="30">
        <f>DriverPoint_COLL($E$11)</f>
        <v>1</v>
      </c>
      <c r="V15" s="16">
        <f>DriverPoint_BI($F$11)</f>
        <v>0</v>
      </c>
      <c r="W15" s="16">
        <f>DriverPoint_BI($F$11)</f>
        <v>0</v>
      </c>
      <c r="X15" s="16">
        <f>DriverPoint_COMP($F$11)</f>
        <v>0</v>
      </c>
      <c r="Y15" s="30">
        <f>DriverPoint_COLL($F$11)</f>
        <v>0</v>
      </c>
    </row>
    <row r="16" spans="2:25" ht="19">
      <c r="B16" s="95" t="s">
        <v>27</v>
      </c>
      <c r="C16" s="108" t="s">
        <v>42</v>
      </c>
      <c r="D16" s="109" t="s">
        <v>38</v>
      </c>
      <c r="E16" s="109"/>
      <c r="F16" s="110"/>
      <c r="G16" s="2"/>
      <c r="H16" s="123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</row>
    <row r="17" spans="2:25" ht="20" thickBot="1">
      <c r="B17" s="107" t="s">
        <v>55</v>
      </c>
      <c r="C17" s="111" t="s">
        <v>50</v>
      </c>
      <c r="D17" s="112" t="s">
        <v>58</v>
      </c>
      <c r="E17" s="112"/>
      <c r="F17" s="113"/>
      <c r="G17" s="2"/>
      <c r="H17" s="124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2:25">
      <c r="G18" s="2"/>
      <c r="H18" s="99"/>
      <c r="I18" s="16"/>
      <c r="J18" s="27" t="s">
        <v>0</v>
      </c>
      <c r="K18" s="28" t="s">
        <v>1</v>
      </c>
      <c r="L18" s="28" t="s">
        <v>2</v>
      </c>
      <c r="M18" s="29" t="s">
        <v>3</v>
      </c>
      <c r="N18" s="27" t="s">
        <v>0</v>
      </c>
      <c r="O18" s="28" t="s">
        <v>1</v>
      </c>
      <c r="P18" s="28" t="s">
        <v>2</v>
      </c>
      <c r="Q18" s="29" t="s">
        <v>3</v>
      </c>
      <c r="R18" s="27" t="s">
        <v>0</v>
      </c>
      <c r="S18" s="28" t="s">
        <v>1</v>
      </c>
      <c r="T18" s="28" t="s">
        <v>2</v>
      </c>
      <c r="U18" s="29" t="s">
        <v>3</v>
      </c>
      <c r="V18" s="27" t="s">
        <v>0</v>
      </c>
      <c r="W18" s="28" t="s">
        <v>1</v>
      </c>
      <c r="X18" s="28" t="s">
        <v>2</v>
      </c>
      <c r="Y18" s="29" t="s">
        <v>3</v>
      </c>
    </row>
    <row r="19" spans="2:25">
      <c r="G19" s="2"/>
      <c r="H19" s="21"/>
      <c r="I19" s="16"/>
      <c r="J19" s="126" t="s">
        <v>52</v>
      </c>
      <c r="K19" s="16"/>
      <c r="L19" s="16"/>
      <c r="M19" s="16"/>
      <c r="N19" s="126" t="s">
        <v>53</v>
      </c>
      <c r="R19" s="126" t="s">
        <v>57</v>
      </c>
      <c r="V19" s="126" t="s">
        <v>118</v>
      </c>
      <c r="Y19" s="120"/>
    </row>
    <row r="20" spans="2:25">
      <c r="C20" s="2"/>
      <c r="D20" s="2"/>
      <c r="E20" s="2"/>
      <c r="F20" s="2"/>
      <c r="G20" s="2"/>
      <c r="H20" s="165" t="s">
        <v>24</v>
      </c>
      <c r="I20" s="29" t="s">
        <v>25</v>
      </c>
      <c r="J20" s="27"/>
      <c r="K20" s="28"/>
      <c r="L20" s="28">
        <f>Deductible_COMP($C$13)</f>
        <v>1.3</v>
      </c>
      <c r="M20" s="29">
        <f>Deductible_COLL($C$14)</f>
        <v>1.22</v>
      </c>
      <c r="N20" s="27"/>
      <c r="O20" s="28"/>
      <c r="P20" s="28">
        <f>Deductible_COMP($D$13)</f>
        <v>1</v>
      </c>
      <c r="Q20" s="29">
        <f>Deductible_COLL($D$14)</f>
        <v>0.84</v>
      </c>
      <c r="R20" s="27"/>
      <c r="S20" s="28"/>
      <c r="T20" s="28">
        <f>Deductible_COMP($E$13)</f>
        <v>0</v>
      </c>
      <c r="U20" s="29">
        <f>Deductible_COLL($E$14)</f>
        <v>0</v>
      </c>
      <c r="V20" s="27"/>
      <c r="W20" s="28"/>
      <c r="X20" s="28">
        <f>Deductible_COMP($F$13)</f>
        <v>0</v>
      </c>
      <c r="Y20" s="29">
        <f>Deductible_COLL($F$14)</f>
        <v>0</v>
      </c>
    </row>
    <row r="21" spans="2:25">
      <c r="C21" s="2"/>
      <c r="D21" s="2"/>
      <c r="E21" s="2"/>
      <c r="F21" s="2"/>
      <c r="G21" s="2"/>
      <c r="H21" s="166"/>
      <c r="I21" s="30" t="s">
        <v>26</v>
      </c>
      <c r="J21" s="21">
        <f>ModelYearBI($C$15)</f>
        <v>1.04</v>
      </c>
      <c r="K21" s="16">
        <f>ModelYearPD($C$15)</f>
        <v>1.05</v>
      </c>
      <c r="L21" s="16">
        <f>ModelYearCOMP($C$15)</f>
        <v>1.248</v>
      </c>
      <c r="M21" s="30">
        <f>ModelYearCOLL($C$15)</f>
        <v>1.373</v>
      </c>
      <c r="N21" s="21">
        <f>ModelYearBI($D$15)</f>
        <v>1</v>
      </c>
      <c r="O21" s="16">
        <f>ModelYearPD($D$15)</f>
        <v>1</v>
      </c>
      <c r="P21" s="16">
        <f>ModelYearCOMP($D$15)</f>
        <v>0.874</v>
      </c>
      <c r="Q21" s="30">
        <f>ModelYearCOLL($D$15)</f>
        <v>0.75</v>
      </c>
      <c r="R21" s="21">
        <f>ModelYearBI($E$15)</f>
        <v>0</v>
      </c>
      <c r="S21" s="16">
        <f>ModelYearPD($E$15)</f>
        <v>0</v>
      </c>
      <c r="T21" s="16">
        <f>ModelYearCOMP($E$15)</f>
        <v>0</v>
      </c>
      <c r="U21" s="30">
        <f>ModelYearCOLL($E$15)</f>
        <v>0</v>
      </c>
      <c r="V21" s="21">
        <f>ModelYearBI($F$15)</f>
        <v>0</v>
      </c>
      <c r="W21" s="16">
        <f>ModelYearPD($F$15)</f>
        <v>0</v>
      </c>
      <c r="X21" s="16">
        <f>ModelYearCOMP($F$15)</f>
        <v>0</v>
      </c>
      <c r="Y21" s="30">
        <f>ModelYearCOLL($F$15)</f>
        <v>0</v>
      </c>
    </row>
    <row r="22" spans="2:25">
      <c r="C22" s="2"/>
      <c r="D22" s="2"/>
      <c r="E22" s="2"/>
      <c r="F22" s="2"/>
      <c r="G22" s="2"/>
      <c r="H22" s="166"/>
      <c r="I22" s="30" t="s">
        <v>27</v>
      </c>
      <c r="J22" s="21">
        <f>SymbolBI($C$16)</f>
        <v>1.1299999999999999</v>
      </c>
      <c r="K22" s="16">
        <f>SymbolPD($C$16)</f>
        <v>1.1000000000000001</v>
      </c>
      <c r="L22" s="16">
        <f>SymbolCOMP($C$16)</f>
        <v>1.35</v>
      </c>
      <c r="M22" s="30">
        <f>SymbolCOLL($C$16)</f>
        <v>1.45</v>
      </c>
      <c r="N22" s="21">
        <f>SymbolBI($D$16)</f>
        <v>0.97</v>
      </c>
      <c r="O22" s="16">
        <f>SymbolPD($D$16)</f>
        <v>0.98</v>
      </c>
      <c r="P22" s="16">
        <f>SymbolCOMP($D$16)</f>
        <v>0.95</v>
      </c>
      <c r="Q22" s="30">
        <f>SymbolCOLL($D$16)</f>
        <v>0.93</v>
      </c>
      <c r="R22" s="21">
        <f>SymbolBI($E$16)</f>
        <v>0</v>
      </c>
      <c r="S22" s="16">
        <f>SymbolPD($E$16)</f>
        <v>0</v>
      </c>
      <c r="T22" s="16">
        <f>SymbolCOMP($E$16)</f>
        <v>0</v>
      </c>
      <c r="U22" s="30">
        <f>SymbolCOLL($E$16)</f>
        <v>0</v>
      </c>
      <c r="V22" s="21">
        <f>SymbolBI($F$16)</f>
        <v>0</v>
      </c>
      <c r="W22" s="16">
        <f>SymbolPD($F$16)</f>
        <v>0</v>
      </c>
      <c r="X22" s="16">
        <f>SymbolCOMP($F$16)</f>
        <v>0</v>
      </c>
      <c r="Y22" s="30">
        <f>SymbolCOLL($F$16)</f>
        <v>0</v>
      </c>
    </row>
    <row r="23" spans="2:25">
      <c r="C23" s="13"/>
      <c r="D23" s="13"/>
      <c r="E23" s="13"/>
      <c r="F23" s="13"/>
      <c r="G23" s="2"/>
      <c r="H23" s="166"/>
      <c r="I23" s="30" t="s">
        <v>84</v>
      </c>
      <c r="J23" s="21">
        <f>NewCar_BI($C$15)</f>
        <v>0.98</v>
      </c>
      <c r="K23" s="16">
        <f>NewCar_PD($C$15)</f>
        <v>0.97499999999999998</v>
      </c>
      <c r="L23" s="16">
        <f>NewCar_CC($C$15)</f>
        <v>1</v>
      </c>
      <c r="M23" s="30">
        <f>NewCar_CC($C$15)</f>
        <v>1</v>
      </c>
      <c r="N23" s="21">
        <f>NewCar_BI($D$15)</f>
        <v>1</v>
      </c>
      <c r="O23" s="16">
        <f>NewCar_PD($D$15)</f>
        <v>1</v>
      </c>
      <c r="P23" s="16">
        <f>NewCar_CC($D$15)</f>
        <v>1</v>
      </c>
      <c r="Q23" s="30">
        <f>NewCar_CC($D$15)</f>
        <v>1</v>
      </c>
      <c r="R23" s="21">
        <f>NewCar_BI($E$15)</f>
        <v>0</v>
      </c>
      <c r="S23" s="16">
        <f>NewCar_PD($E$15)</f>
        <v>0</v>
      </c>
      <c r="T23" s="16">
        <f>NewCar_CC($E$15)</f>
        <v>0</v>
      </c>
      <c r="U23" s="30">
        <f>NewCar_CC($E$15)</f>
        <v>0</v>
      </c>
      <c r="V23" s="21">
        <f>NewCar_BI($F$15)</f>
        <v>0</v>
      </c>
      <c r="W23" s="16">
        <f>NewCar_PD($F$15)</f>
        <v>0</v>
      </c>
      <c r="X23" s="16">
        <f>NewCar_CC($F$15)</f>
        <v>0</v>
      </c>
      <c r="Y23" s="30">
        <f>NewCar_CC($F$15)</f>
        <v>0</v>
      </c>
    </row>
    <row r="24" spans="2:25">
      <c r="C24" s="13"/>
      <c r="D24" s="13"/>
      <c r="E24" s="13"/>
      <c r="F24" s="13"/>
      <c r="G24" s="2"/>
      <c r="H24" s="166"/>
      <c r="I24" s="30" t="s">
        <v>55</v>
      </c>
      <c r="J24" s="127" t="str">
        <f>C17</f>
        <v>Driver 1</v>
      </c>
      <c r="K24" s="16"/>
      <c r="L24" s="16"/>
      <c r="M24" s="30"/>
      <c r="N24" s="127" t="str">
        <f>D17</f>
        <v>Driver 3</v>
      </c>
      <c r="O24" s="16"/>
      <c r="P24" s="16"/>
      <c r="Q24" s="30"/>
      <c r="R24" s="127">
        <f>E17</f>
        <v>0</v>
      </c>
      <c r="S24" s="16"/>
      <c r="T24" s="16"/>
      <c r="U24" s="30"/>
      <c r="V24" s="127">
        <f>F17</f>
        <v>0</v>
      </c>
      <c r="W24" s="16"/>
      <c r="X24" s="16"/>
      <c r="Y24" s="30"/>
    </row>
    <row r="25" spans="2:25">
      <c r="C25" s="12"/>
      <c r="D25" s="12"/>
      <c r="E25" s="12"/>
      <c r="F25" s="12"/>
      <c r="G25" s="13"/>
      <c r="H25" s="33"/>
      <c r="I25" s="32" t="s">
        <v>28</v>
      </c>
      <c r="J25" s="125">
        <f>Total_BI(J4,C17,J19)</f>
        <v>153.87114664796161</v>
      </c>
      <c r="K25" s="114">
        <f>Total_PD(K4,C17,J19)</f>
        <v>161.01196724592</v>
      </c>
      <c r="L25" s="114">
        <f>Total_COMP(L4,C17,J19)</f>
        <v>316.38752312590077</v>
      </c>
      <c r="M25" s="115">
        <f>Total_COLL(M4,C17,J19)</f>
        <v>423.22191049351989</v>
      </c>
      <c r="N25" s="125">
        <f>Total_BI(J4,D17,N19)</f>
        <v>0</v>
      </c>
      <c r="O25" s="114">
        <f>Total_PD(K4,D17,N19)</f>
        <v>0</v>
      </c>
      <c r="P25" s="114">
        <f>Total_COMP(L4,D17,N19)</f>
        <v>0</v>
      </c>
      <c r="Q25" s="115">
        <f>Total_COLL(M4,D17,N19)</f>
        <v>0</v>
      </c>
      <c r="R25" s="125">
        <f>Total_BI(J4,E17,R19)</f>
        <v>0</v>
      </c>
      <c r="S25" s="114">
        <f>Total_PD(K4,E17,R19)</f>
        <v>0</v>
      </c>
      <c r="T25" s="114">
        <f>Total_COMP(L4,E17,R19)</f>
        <v>0</v>
      </c>
      <c r="U25" s="115">
        <f>Total_COLL(M4,E17,R19)</f>
        <v>0</v>
      </c>
      <c r="V25" s="125">
        <f>Total_BI(J4,F17,V19)</f>
        <v>0</v>
      </c>
      <c r="W25" s="114">
        <f>Total_PD(K4,F17,V19)</f>
        <v>0</v>
      </c>
      <c r="X25" s="114">
        <f>Total_COMP(L4,F17,V19)</f>
        <v>0</v>
      </c>
      <c r="Y25" s="115">
        <f>Total_COLL(M4,F17,V19)</f>
        <v>0</v>
      </c>
    </row>
    <row r="26" spans="2:25">
      <c r="G26" s="13"/>
      <c r="H26" s="27"/>
      <c r="I26" s="28"/>
      <c r="J26" s="28"/>
      <c r="K26" s="28"/>
      <c r="L26" s="28"/>
      <c r="M26" s="29"/>
      <c r="N26" s="28"/>
      <c r="O26" s="28"/>
      <c r="P26" s="28"/>
      <c r="Q26" s="29"/>
      <c r="R26" s="28"/>
      <c r="S26" s="28"/>
      <c r="T26" s="28"/>
      <c r="U26" s="29"/>
      <c r="V26" s="28"/>
      <c r="W26" s="28"/>
      <c r="X26" s="28"/>
      <c r="Y26" s="29"/>
    </row>
    <row r="27" spans="2:25">
      <c r="G27" s="12"/>
      <c r="H27" s="33"/>
      <c r="I27" s="31" t="s">
        <v>94</v>
      </c>
      <c r="J27" s="168" t="s">
        <v>97</v>
      </c>
      <c r="K27" s="168"/>
      <c r="L27" s="168"/>
      <c r="M27" s="169"/>
      <c r="N27" s="168" t="s">
        <v>97</v>
      </c>
      <c r="O27" s="168"/>
      <c r="P27" s="168"/>
      <c r="Q27" s="169"/>
      <c r="R27" s="168" t="s">
        <v>97</v>
      </c>
      <c r="S27" s="168"/>
      <c r="T27" s="168"/>
      <c r="U27" s="169"/>
      <c r="V27" s="168" t="s">
        <v>97</v>
      </c>
      <c r="W27" s="168"/>
      <c r="X27" s="168"/>
      <c r="Y27" s="169"/>
    </row>
    <row r="28" spans="2:25">
      <c r="H28" s="16"/>
      <c r="I28" s="16" t="s">
        <v>121</v>
      </c>
      <c r="J28" s="101">
        <f>SUM(J25:Y25)</f>
        <v>1054.4925475133023</v>
      </c>
      <c r="K28" s="101"/>
      <c r="L28" s="101"/>
      <c r="M28" s="101"/>
    </row>
    <row r="29" spans="2:25">
      <c r="H29" s="16"/>
      <c r="I29" s="16"/>
      <c r="J29" s="16"/>
      <c r="K29" s="16"/>
      <c r="L29" s="16"/>
      <c r="M29" s="16"/>
    </row>
    <row r="30" spans="2: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2:25">
      <c r="B31" t="s">
        <v>154</v>
      </c>
      <c r="H31" s="121"/>
      <c r="I31" s="16"/>
      <c r="J31" s="122"/>
      <c r="K31" s="101"/>
      <c r="L31" s="101"/>
      <c r="M31" s="101"/>
      <c r="N31" s="122"/>
      <c r="O31" s="101"/>
      <c r="P31" s="101"/>
      <c r="Q31" s="101"/>
      <c r="R31" s="122"/>
      <c r="S31" s="101"/>
      <c r="T31" s="101"/>
      <c r="U31" s="101"/>
      <c r="V31" s="122"/>
      <c r="W31" s="101"/>
      <c r="X31" s="101"/>
      <c r="Y31" s="101"/>
    </row>
    <row r="32" spans="2:25">
      <c r="B32" s="183"/>
      <c r="C32" s="183" t="s">
        <v>123</v>
      </c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6"/>
      <c r="R32" s="16"/>
      <c r="S32" s="16"/>
      <c r="T32" s="16"/>
      <c r="U32" s="16"/>
      <c r="V32" s="16"/>
      <c r="W32" s="16"/>
      <c r="X32" s="16"/>
      <c r="Y32" s="16"/>
    </row>
    <row r="33" spans="2:25">
      <c r="B33" s="183" t="s">
        <v>4</v>
      </c>
      <c r="C33" s="183">
        <v>120</v>
      </c>
      <c r="D33" s="183">
        <v>150</v>
      </c>
      <c r="E33" s="183">
        <v>210</v>
      </c>
      <c r="F33" s="183">
        <v>340</v>
      </c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2"/>
      <c r="R33" s="182"/>
      <c r="S33" s="182"/>
      <c r="T33" s="182"/>
      <c r="U33" s="182"/>
      <c r="V33" s="182"/>
      <c r="W33" s="182"/>
      <c r="X33" s="182"/>
      <c r="Y33" s="182"/>
    </row>
    <row r="34" spans="2:25">
      <c r="B34" s="183" t="s">
        <v>19</v>
      </c>
      <c r="C34" s="183">
        <v>1.276</v>
      </c>
      <c r="D34" s="183">
        <v>1.0580000000000001</v>
      </c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</row>
    <row r="35" spans="2:25">
      <c r="B35" s="183" t="s">
        <v>21</v>
      </c>
      <c r="C35" s="184">
        <v>0.92</v>
      </c>
      <c r="D35" s="184">
        <v>0.92</v>
      </c>
      <c r="E35" s="184">
        <v>1.1399999999999999</v>
      </c>
      <c r="F35" s="184">
        <v>0.96</v>
      </c>
      <c r="G35" s="183"/>
      <c r="H35" s="183"/>
      <c r="I35" s="183"/>
      <c r="J35" s="183"/>
      <c r="K35" s="183"/>
      <c r="L35" s="183"/>
      <c r="M35" s="183"/>
      <c r="N35" s="183"/>
      <c r="O35" s="183"/>
      <c r="P35" s="183"/>
    </row>
    <row r="36" spans="2:25">
      <c r="B36" s="183" t="s">
        <v>79</v>
      </c>
      <c r="C36" s="183">
        <v>1</v>
      </c>
      <c r="D36" s="183">
        <v>1</v>
      </c>
      <c r="E36" s="183">
        <v>1</v>
      </c>
      <c r="F36" s="183">
        <v>1</v>
      </c>
      <c r="G36" s="183"/>
      <c r="H36" s="183"/>
      <c r="I36" s="183"/>
      <c r="J36" s="183"/>
      <c r="K36" s="183"/>
      <c r="L36" s="183"/>
      <c r="M36" s="183"/>
      <c r="N36" s="183"/>
      <c r="O36" s="183"/>
      <c r="P36" s="183"/>
    </row>
    <row r="37" spans="2:25"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</row>
    <row r="38" spans="2:25">
      <c r="B38" s="183" t="s">
        <v>16</v>
      </c>
      <c r="C38" s="183">
        <v>1</v>
      </c>
      <c r="D38" s="183">
        <v>1</v>
      </c>
      <c r="E38" s="183">
        <v>1</v>
      </c>
      <c r="F38" s="183">
        <v>1</v>
      </c>
      <c r="G38" s="183"/>
      <c r="H38" s="183">
        <v>1</v>
      </c>
      <c r="I38" s="183">
        <v>1</v>
      </c>
      <c r="J38" s="183">
        <v>1</v>
      </c>
      <c r="K38" s="183">
        <v>1</v>
      </c>
      <c r="L38" s="183"/>
      <c r="M38" s="183"/>
      <c r="N38" s="183"/>
      <c r="O38" s="183"/>
      <c r="P38" s="183"/>
    </row>
    <row r="39" spans="2:25">
      <c r="B39" s="183" t="s">
        <v>56</v>
      </c>
      <c r="C39" s="183">
        <v>1.0109999999999999</v>
      </c>
      <c r="D39" s="183">
        <v>1.0109999999999999</v>
      </c>
      <c r="E39" s="183">
        <v>1.0109999999999999</v>
      </c>
      <c r="F39" s="183">
        <v>1.0109999999999999</v>
      </c>
      <c r="G39" s="183"/>
      <c r="H39" s="183">
        <v>1.349</v>
      </c>
      <c r="I39" s="183">
        <v>1.349</v>
      </c>
      <c r="J39" s="183">
        <v>1.349</v>
      </c>
      <c r="K39" s="183">
        <v>1.349</v>
      </c>
      <c r="L39" s="183"/>
      <c r="M39" s="183"/>
      <c r="N39" s="183"/>
      <c r="O39" s="183"/>
      <c r="P39" s="183"/>
    </row>
    <row r="40" spans="2:25">
      <c r="B40" s="183" t="s">
        <v>17</v>
      </c>
      <c r="C40" s="183">
        <v>1</v>
      </c>
      <c r="D40" s="183">
        <v>1</v>
      </c>
      <c r="E40" s="183">
        <v>1</v>
      </c>
      <c r="F40" s="183">
        <v>1</v>
      </c>
      <c r="G40" s="183"/>
      <c r="H40" s="183">
        <v>1.17</v>
      </c>
      <c r="I40" s="183">
        <v>1.17</v>
      </c>
      <c r="J40" s="183">
        <v>1.1200000000000001</v>
      </c>
      <c r="K40" s="183">
        <v>1.21</v>
      </c>
      <c r="L40" s="183"/>
      <c r="M40" s="183"/>
      <c r="N40" s="183"/>
      <c r="O40" s="183"/>
      <c r="P40" s="183"/>
    </row>
    <row r="41" spans="2:25"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</row>
    <row r="42" spans="2:25">
      <c r="B42" s="183" t="s">
        <v>25</v>
      </c>
      <c r="C42" s="183"/>
      <c r="D42" s="183"/>
      <c r="E42" s="183">
        <v>1</v>
      </c>
      <c r="F42" s="183">
        <v>0.84</v>
      </c>
      <c r="G42" s="183"/>
      <c r="H42" s="183"/>
      <c r="I42" s="183"/>
      <c r="J42" s="183">
        <v>1</v>
      </c>
      <c r="K42" s="183">
        <v>1</v>
      </c>
      <c r="L42" s="183"/>
      <c r="M42" s="183"/>
      <c r="N42" s="183"/>
      <c r="O42" s="184">
        <v>0.79</v>
      </c>
      <c r="P42" s="184">
        <v>0.84</v>
      </c>
    </row>
    <row r="43" spans="2:25">
      <c r="B43" s="183" t="s">
        <v>26</v>
      </c>
      <c r="C43" s="183">
        <v>1.04</v>
      </c>
      <c r="D43" s="183">
        <v>1.05</v>
      </c>
      <c r="E43" s="183">
        <v>1.1759999999999999</v>
      </c>
      <c r="F43" s="183">
        <v>1.2669999999999999</v>
      </c>
      <c r="G43" s="183"/>
      <c r="H43" s="183">
        <v>1</v>
      </c>
      <c r="I43" s="183">
        <v>1</v>
      </c>
      <c r="J43" s="183">
        <v>0.874</v>
      </c>
      <c r="K43" s="183">
        <v>0.75</v>
      </c>
      <c r="L43" s="183"/>
      <c r="M43" s="184">
        <v>1.04</v>
      </c>
      <c r="N43" s="184">
        <v>1.05</v>
      </c>
      <c r="O43" s="184">
        <v>1.248</v>
      </c>
      <c r="P43" s="184">
        <v>1.373</v>
      </c>
    </row>
    <row r="44" spans="2:25">
      <c r="B44" s="183" t="s">
        <v>27</v>
      </c>
      <c r="C44" s="183">
        <v>1</v>
      </c>
      <c r="D44" s="183">
        <v>1</v>
      </c>
      <c r="E44" s="183">
        <v>1.07</v>
      </c>
      <c r="F44" s="183">
        <v>1.1599999999999999</v>
      </c>
      <c r="G44" s="183"/>
      <c r="H44" s="183">
        <v>1</v>
      </c>
      <c r="I44" s="183">
        <v>1</v>
      </c>
      <c r="J44" s="183">
        <v>0.92</v>
      </c>
      <c r="K44" s="183">
        <v>0.85</v>
      </c>
      <c r="L44" s="183"/>
      <c r="M44" s="184">
        <v>1.06</v>
      </c>
      <c r="N44" s="184">
        <v>1.05</v>
      </c>
      <c r="O44" s="184">
        <v>1.2</v>
      </c>
      <c r="P44" s="184">
        <v>1.28</v>
      </c>
    </row>
    <row r="45" spans="2:25">
      <c r="B45" s="183" t="s">
        <v>84</v>
      </c>
      <c r="C45" s="183">
        <v>1</v>
      </c>
      <c r="D45" s="183">
        <v>1</v>
      </c>
      <c r="E45" s="183">
        <v>1</v>
      </c>
      <c r="F45" s="183">
        <v>1</v>
      </c>
      <c r="G45" s="183"/>
      <c r="H45" s="183">
        <v>1</v>
      </c>
      <c r="I45" s="183">
        <v>1</v>
      </c>
      <c r="J45" s="183">
        <v>1</v>
      </c>
      <c r="K45" s="183">
        <v>1</v>
      </c>
      <c r="L45" s="183"/>
      <c r="M45" s="184">
        <v>1</v>
      </c>
      <c r="N45" s="184">
        <v>1</v>
      </c>
      <c r="O45" s="184">
        <v>1</v>
      </c>
      <c r="P45" s="184">
        <v>1</v>
      </c>
    </row>
    <row r="46" spans="2:25"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</row>
    <row r="47" spans="2:25">
      <c r="B47" s="183" t="s">
        <v>124</v>
      </c>
      <c r="C47" s="183"/>
      <c r="D47" s="183"/>
      <c r="E47" s="183"/>
      <c r="F47" s="183"/>
      <c r="G47" s="183" t="s">
        <v>125</v>
      </c>
      <c r="H47" s="183"/>
      <c r="I47" s="183"/>
      <c r="J47" s="183"/>
      <c r="K47" s="183"/>
      <c r="L47" s="183" t="s">
        <v>126</v>
      </c>
      <c r="M47" s="183"/>
      <c r="N47" s="183"/>
      <c r="O47" s="183"/>
      <c r="P47" s="183"/>
    </row>
    <row r="48" spans="2:25">
      <c r="B48" s="183" t="s">
        <v>28</v>
      </c>
      <c r="C48" s="183">
        <v>148.1167734</v>
      </c>
      <c r="D48" s="183">
        <v>154.99054620000001</v>
      </c>
      <c r="E48" s="183">
        <v>304.5554679</v>
      </c>
      <c r="F48" s="183">
        <v>407.39453220000001</v>
      </c>
      <c r="G48" s="183"/>
      <c r="H48" s="183">
        <v>222.339978</v>
      </c>
      <c r="I48" s="183">
        <v>230.4424933</v>
      </c>
      <c r="J48" s="183">
        <v>290.83949269999999</v>
      </c>
      <c r="K48" s="183">
        <v>339.6469032</v>
      </c>
      <c r="L48" s="183"/>
      <c r="M48" s="183">
        <v>157.00377979999999</v>
      </c>
      <c r="N48" s="183">
        <v>162.74007399999999</v>
      </c>
      <c r="O48" s="183">
        <v>286.350684</v>
      </c>
      <c r="P48" s="183">
        <v>487.14819599999998</v>
      </c>
    </row>
    <row r="49" spans="2:16">
      <c r="B49" s="183" t="s">
        <v>94</v>
      </c>
      <c r="C49" s="185">
        <v>20</v>
      </c>
      <c r="D49" s="185">
        <v>20</v>
      </c>
      <c r="E49" s="185">
        <v>20</v>
      </c>
      <c r="F49" s="185">
        <v>20</v>
      </c>
      <c r="G49" s="183"/>
      <c r="H49" s="185">
        <v>20</v>
      </c>
      <c r="I49" s="185">
        <v>20</v>
      </c>
      <c r="J49" s="185">
        <v>20</v>
      </c>
      <c r="K49" s="185">
        <v>20</v>
      </c>
      <c r="L49" s="183"/>
      <c r="M49" s="185">
        <v>20</v>
      </c>
      <c r="N49" s="185">
        <v>20</v>
      </c>
      <c r="O49" s="185">
        <v>20</v>
      </c>
      <c r="P49" s="185">
        <v>20</v>
      </c>
    </row>
    <row r="50" spans="2:16" ht="16" thickBot="1">
      <c r="B50" s="183" t="s">
        <v>121</v>
      </c>
      <c r="C50" s="186">
        <v>168.1167734</v>
      </c>
      <c r="D50" s="186">
        <v>174.99054620000001</v>
      </c>
      <c r="E50" s="186">
        <v>324.5554679</v>
      </c>
      <c r="F50" s="186">
        <v>427.39453220000001</v>
      </c>
      <c r="G50" s="183"/>
      <c r="H50" s="186">
        <v>242.339978</v>
      </c>
      <c r="I50" s="186">
        <v>250.4424933</v>
      </c>
      <c r="J50" s="186">
        <v>310.83949269999999</v>
      </c>
      <c r="K50" s="186">
        <v>359.6469032</v>
      </c>
      <c r="L50" s="183"/>
      <c r="M50" s="186">
        <v>177.00377979999999</v>
      </c>
      <c r="N50" s="186">
        <v>182.74007399999999</v>
      </c>
      <c r="O50" s="186">
        <v>306.350684</v>
      </c>
      <c r="P50" s="186">
        <v>507.14819599999998</v>
      </c>
    </row>
    <row r="51" spans="2:16" ht="16" thickTop="1"/>
    <row r="54" spans="2:16">
      <c r="C54" t="s">
        <v>127</v>
      </c>
    </row>
    <row r="55" spans="2:16">
      <c r="B55" s="67" t="s">
        <v>4</v>
      </c>
      <c r="C55" s="67">
        <v>120</v>
      </c>
      <c r="D55" s="67">
        <v>150</v>
      </c>
      <c r="E55" s="67">
        <v>210</v>
      </c>
      <c r="F55" s="67">
        <v>340</v>
      </c>
      <c r="G55" s="67"/>
      <c r="H55" s="67"/>
      <c r="I55" s="67"/>
      <c r="J55" s="67"/>
      <c r="K55" s="67"/>
    </row>
    <row r="56" spans="2:16">
      <c r="B56" s="16" t="s">
        <v>19</v>
      </c>
      <c r="C56" s="37">
        <v>1.589</v>
      </c>
      <c r="D56" s="37">
        <v>1.286</v>
      </c>
      <c r="E56" s="67"/>
      <c r="F56" s="67"/>
      <c r="G56" s="67"/>
      <c r="H56" s="67"/>
      <c r="I56" s="67"/>
      <c r="J56" s="67"/>
      <c r="K56" s="67"/>
    </row>
    <row r="57" spans="2:16">
      <c r="B57" s="16" t="s">
        <v>21</v>
      </c>
      <c r="C57" s="37">
        <v>1.1299999999999999</v>
      </c>
      <c r="D57" s="37">
        <v>1.1299999999999999</v>
      </c>
      <c r="E57" s="37">
        <v>1.1000000000000001</v>
      </c>
      <c r="F57" s="37">
        <v>1.21</v>
      </c>
      <c r="G57" s="67"/>
      <c r="H57" s="67"/>
      <c r="I57" s="67"/>
      <c r="J57" s="67"/>
      <c r="K57" s="67"/>
    </row>
    <row r="58" spans="2:16">
      <c r="B58" s="16" t="s">
        <v>79</v>
      </c>
      <c r="C58" s="16">
        <v>0.97</v>
      </c>
      <c r="D58" s="16">
        <v>0.97</v>
      </c>
      <c r="E58" s="16">
        <v>0.97</v>
      </c>
      <c r="F58" s="16">
        <v>0.97</v>
      </c>
      <c r="G58" s="67"/>
      <c r="H58" s="67"/>
      <c r="I58" s="67"/>
      <c r="J58" s="67"/>
      <c r="K58" s="67"/>
    </row>
    <row r="59" spans="2:16">
      <c r="B59" s="67"/>
      <c r="C59" s="67"/>
      <c r="D59" s="67"/>
      <c r="E59" s="67"/>
      <c r="F59" s="67"/>
      <c r="G59" s="67"/>
      <c r="H59" s="67"/>
      <c r="I59" s="67"/>
      <c r="J59" s="67"/>
      <c r="K59" s="67"/>
    </row>
    <row r="60" spans="2:16">
      <c r="B60" s="16" t="s">
        <v>16</v>
      </c>
      <c r="C60" s="67">
        <v>1</v>
      </c>
      <c r="D60" s="67">
        <v>1</v>
      </c>
      <c r="E60" s="67">
        <v>1</v>
      </c>
      <c r="F60" s="67">
        <v>1</v>
      </c>
      <c r="G60" s="67"/>
      <c r="H60" s="67">
        <v>1</v>
      </c>
      <c r="I60" s="67">
        <v>1</v>
      </c>
      <c r="J60" s="67">
        <v>1</v>
      </c>
      <c r="K60" s="67">
        <v>1</v>
      </c>
    </row>
    <row r="61" spans="2:16">
      <c r="B61" s="16" t="s">
        <v>56</v>
      </c>
      <c r="C61" s="67">
        <v>1.018</v>
      </c>
      <c r="D61" s="67">
        <v>1.018</v>
      </c>
      <c r="E61" s="67">
        <v>1.018</v>
      </c>
      <c r="F61" s="67">
        <v>1.018</v>
      </c>
      <c r="G61" s="67"/>
      <c r="H61" s="67">
        <v>1.0129999999999999</v>
      </c>
      <c r="I61" s="67">
        <v>1.0129999999999999</v>
      </c>
      <c r="J61" s="67">
        <v>1.0129999999999999</v>
      </c>
      <c r="K61" s="67">
        <v>1.0129999999999999</v>
      </c>
    </row>
    <row r="62" spans="2:16">
      <c r="B62" s="16" t="s">
        <v>17</v>
      </c>
      <c r="C62" s="67">
        <v>1</v>
      </c>
      <c r="D62" s="67">
        <v>1</v>
      </c>
      <c r="E62" s="67">
        <v>1</v>
      </c>
      <c r="F62" s="67">
        <v>1</v>
      </c>
      <c r="G62" s="67"/>
      <c r="H62" s="67">
        <v>1.9</v>
      </c>
      <c r="I62" s="67">
        <v>1.9</v>
      </c>
      <c r="J62" s="67">
        <v>1.63</v>
      </c>
      <c r="K62" s="67">
        <v>2.1800000000000002</v>
      </c>
    </row>
    <row r="63" spans="2:16">
      <c r="B63" s="67"/>
      <c r="C63" s="67"/>
      <c r="D63" s="67"/>
      <c r="E63" s="67"/>
      <c r="F63" s="67"/>
      <c r="G63" s="67"/>
      <c r="H63" s="67"/>
      <c r="I63" s="67"/>
      <c r="J63" s="67"/>
      <c r="K63" s="67"/>
    </row>
    <row r="64" spans="2:16">
      <c r="B64" s="16" t="s">
        <v>25</v>
      </c>
      <c r="C64" s="67"/>
      <c r="D64" s="67"/>
      <c r="E64" s="37">
        <v>1.3</v>
      </c>
      <c r="F64" s="37">
        <v>1.22</v>
      </c>
      <c r="G64" s="67"/>
      <c r="H64" s="67"/>
      <c r="I64" s="67"/>
      <c r="J64" s="67">
        <v>1</v>
      </c>
      <c r="K64" s="132">
        <v>0.84</v>
      </c>
    </row>
    <row r="65" spans="2:11">
      <c r="B65" s="16" t="s">
        <v>26</v>
      </c>
      <c r="C65" s="37">
        <v>1.04</v>
      </c>
      <c r="D65" s="37">
        <v>1.05</v>
      </c>
      <c r="E65" s="37">
        <v>1.248</v>
      </c>
      <c r="F65" s="37">
        <v>1.373</v>
      </c>
      <c r="G65" s="67"/>
      <c r="H65" s="37">
        <v>1</v>
      </c>
      <c r="I65" s="37">
        <v>1</v>
      </c>
      <c r="J65" s="37">
        <v>0.874</v>
      </c>
      <c r="K65" s="37">
        <v>0.75</v>
      </c>
    </row>
    <row r="66" spans="2:11">
      <c r="B66" s="16" t="s">
        <v>27</v>
      </c>
      <c r="C66" s="37">
        <v>1.1299999999999999</v>
      </c>
      <c r="D66" s="37">
        <v>1.1000000000000001</v>
      </c>
      <c r="E66" s="37">
        <v>1.35</v>
      </c>
      <c r="F66" s="37">
        <v>1.45</v>
      </c>
      <c r="G66" s="67"/>
      <c r="H66" s="37">
        <v>0.97</v>
      </c>
      <c r="I66" s="37">
        <v>0.98</v>
      </c>
      <c r="J66" s="37">
        <v>0.95</v>
      </c>
      <c r="K66" s="37">
        <v>0.93</v>
      </c>
    </row>
    <row r="67" spans="2:11">
      <c r="B67" s="16" t="s">
        <v>84</v>
      </c>
      <c r="C67" s="37">
        <v>0.98</v>
      </c>
      <c r="D67" s="37">
        <v>0.97499999999999998</v>
      </c>
      <c r="E67" s="37">
        <v>1</v>
      </c>
      <c r="F67" s="37">
        <v>1</v>
      </c>
      <c r="G67" s="67"/>
      <c r="H67" s="37">
        <v>1</v>
      </c>
      <c r="I67" s="37">
        <v>1</v>
      </c>
      <c r="J67" s="37">
        <v>1</v>
      </c>
      <c r="K67" s="37">
        <v>1</v>
      </c>
    </row>
    <row r="68" spans="2:11">
      <c r="B68" s="67"/>
      <c r="C68" s="67"/>
      <c r="D68" s="67"/>
      <c r="E68" s="67"/>
      <c r="F68" s="67"/>
      <c r="G68" s="67"/>
      <c r="H68" s="67"/>
      <c r="I68" s="67"/>
      <c r="J68" s="67"/>
      <c r="K68" s="67"/>
    </row>
    <row r="69" spans="2:11">
      <c r="B69" s="16" t="s">
        <v>124</v>
      </c>
      <c r="G69" t="s">
        <v>128</v>
      </c>
    </row>
    <row r="70" spans="2:11">
      <c r="B70" s="16" t="s">
        <v>28</v>
      </c>
      <c r="C70">
        <f>PRODUCT(C55:C67)</f>
        <v>245.04224206254369</v>
      </c>
      <c r="D70">
        <f>PRODUCT(D55:D67)</f>
        <v>242.39116348697252</v>
      </c>
      <c r="E70">
        <f>PRODUCT(E55:E67)</f>
        <v>499.60088418240014</v>
      </c>
      <c r="F70">
        <f>PRODUCT(F55:F67)</f>
        <v>986.69327858582801</v>
      </c>
      <c r="H70">
        <f>PRODUCT(C55:C58,H60:H67)</f>
        <v>390.2025485377319</v>
      </c>
      <c r="I70">
        <f t="shared" ref="I70:K70" si="0">PRODUCT(D55:D58,I60:I67)</f>
        <v>398.81503950413992</v>
      </c>
      <c r="J70">
        <f t="shared" si="0"/>
        <v>307.19617358198997</v>
      </c>
      <c r="K70">
        <f t="shared" si="0"/>
        <v>516.32774024554806</v>
      </c>
    </row>
    <row r="71" spans="2:11">
      <c r="B71" s="16" t="s">
        <v>94</v>
      </c>
      <c r="C71">
        <v>30</v>
      </c>
      <c r="D71">
        <v>30</v>
      </c>
      <c r="E71">
        <v>30</v>
      </c>
      <c r="F71">
        <v>30</v>
      </c>
      <c r="H71">
        <v>30</v>
      </c>
      <c r="I71">
        <v>30</v>
      </c>
      <c r="J71">
        <v>30</v>
      </c>
      <c r="K71">
        <v>30</v>
      </c>
    </row>
    <row r="72" spans="2:11" ht="16" thickBot="1">
      <c r="B72" s="16" t="s">
        <v>121</v>
      </c>
      <c r="C72" s="131">
        <f>SUM(C70:C71)</f>
        <v>275.04224206254366</v>
      </c>
      <c r="D72" s="131">
        <f t="shared" ref="D72:F72" si="1">SUM(D70:D71)</f>
        <v>272.39116348697252</v>
      </c>
      <c r="E72" s="131">
        <f t="shared" si="1"/>
        <v>529.60088418240014</v>
      </c>
      <c r="F72" s="131">
        <f t="shared" si="1"/>
        <v>1016.693278585828</v>
      </c>
      <c r="H72" s="131">
        <f>SUM(H70:H71)</f>
        <v>420.2025485377319</v>
      </c>
      <c r="I72" s="131">
        <f t="shared" ref="I72:K72" si="2">SUM(I70:I71)</f>
        <v>428.81503950413992</v>
      </c>
      <c r="J72" s="131">
        <f t="shared" si="2"/>
        <v>337.19617358198997</v>
      </c>
      <c r="K72" s="131">
        <f t="shared" si="2"/>
        <v>546.32774024554806</v>
      </c>
    </row>
    <row r="73" spans="2:11" ht="16" thickTop="1">
      <c r="B73" s="16" t="s">
        <v>131</v>
      </c>
      <c r="C73">
        <f>SUM(C72:K72)</f>
        <v>3826.2690701871543</v>
      </c>
    </row>
    <row r="74" spans="2:11">
      <c r="B74" s="16"/>
    </row>
    <row r="76" spans="2:11">
      <c r="C76" t="s">
        <v>129</v>
      </c>
    </row>
    <row r="77" spans="2:11">
      <c r="B77" s="67" t="s">
        <v>4</v>
      </c>
      <c r="C77" s="67">
        <v>120</v>
      </c>
      <c r="D77" s="67">
        <v>150</v>
      </c>
      <c r="E77" s="67">
        <v>210</v>
      </c>
      <c r="F77" s="67">
        <v>340</v>
      </c>
    </row>
    <row r="78" spans="2:11">
      <c r="B78" s="16" t="s">
        <v>19</v>
      </c>
      <c r="C78" s="37">
        <v>1.153</v>
      </c>
      <c r="D78" s="37">
        <v>1.0580000000000001</v>
      </c>
      <c r="E78" s="67"/>
      <c r="F78" s="67"/>
    </row>
    <row r="79" spans="2:11">
      <c r="B79" s="16" t="s">
        <v>21</v>
      </c>
      <c r="C79" s="37">
        <v>1.03</v>
      </c>
      <c r="D79" s="37">
        <v>1.03</v>
      </c>
      <c r="E79" s="37">
        <v>0.95</v>
      </c>
      <c r="F79" s="37">
        <v>1</v>
      </c>
    </row>
    <row r="80" spans="2:11">
      <c r="B80" s="16" t="s">
        <v>79</v>
      </c>
      <c r="C80" s="16">
        <v>1</v>
      </c>
      <c r="D80" s="16">
        <v>1</v>
      </c>
      <c r="E80" s="67">
        <v>1</v>
      </c>
      <c r="F80" s="67">
        <v>1</v>
      </c>
    </row>
    <row r="81" spans="2:6">
      <c r="B81" s="67"/>
      <c r="C81" s="67"/>
      <c r="D81" s="67"/>
      <c r="E81" s="67"/>
      <c r="F81" s="67"/>
    </row>
    <row r="82" spans="2:6">
      <c r="B82" s="16" t="s">
        <v>16</v>
      </c>
      <c r="C82" s="37">
        <v>1</v>
      </c>
      <c r="D82" s="37">
        <v>1</v>
      </c>
      <c r="E82" s="37">
        <v>1</v>
      </c>
      <c r="F82" s="37">
        <v>1</v>
      </c>
    </row>
    <row r="83" spans="2:6">
      <c r="B83" s="16" t="s">
        <v>56</v>
      </c>
      <c r="C83" s="37">
        <v>1.0329999999999999</v>
      </c>
      <c r="D83" s="37">
        <v>1.0329999999999999</v>
      </c>
      <c r="E83" s="37">
        <v>1.0329999999999999</v>
      </c>
      <c r="F83" s="37">
        <v>1.0329999999999999</v>
      </c>
    </row>
    <row r="84" spans="2:6">
      <c r="B84" s="16" t="s">
        <v>17</v>
      </c>
      <c r="C84" s="37">
        <v>1</v>
      </c>
      <c r="D84" s="37">
        <v>1</v>
      </c>
      <c r="E84" s="37">
        <v>1</v>
      </c>
      <c r="F84" s="37">
        <v>1</v>
      </c>
    </row>
    <row r="85" spans="2:6">
      <c r="B85" s="67"/>
      <c r="C85" s="67"/>
      <c r="D85" s="67"/>
      <c r="E85" s="67"/>
      <c r="F85" s="67"/>
    </row>
    <row r="86" spans="2:6">
      <c r="B86" s="16" t="s">
        <v>25</v>
      </c>
      <c r="C86" s="67"/>
      <c r="D86" s="67"/>
      <c r="E86" s="37">
        <v>1.3</v>
      </c>
      <c r="F86" s="37">
        <v>0.84</v>
      </c>
    </row>
    <row r="87" spans="2:6">
      <c r="B87" s="16" t="s">
        <v>26</v>
      </c>
      <c r="C87" s="37">
        <v>1.04</v>
      </c>
      <c r="D87" s="37">
        <v>1.05</v>
      </c>
      <c r="E87" s="37">
        <v>1.248</v>
      </c>
      <c r="F87" s="37">
        <v>1.373</v>
      </c>
    </row>
    <row r="88" spans="2:6">
      <c r="B88" s="16" t="s">
        <v>27</v>
      </c>
      <c r="C88" s="37">
        <v>1</v>
      </c>
      <c r="D88" s="37">
        <v>1</v>
      </c>
      <c r="E88" s="37">
        <v>1</v>
      </c>
      <c r="F88" s="37">
        <v>1</v>
      </c>
    </row>
    <row r="89" spans="2:6">
      <c r="B89" s="16" t="s">
        <v>84</v>
      </c>
      <c r="C89" s="37">
        <v>1</v>
      </c>
      <c r="D89" s="37">
        <v>1</v>
      </c>
      <c r="E89" s="37">
        <v>1</v>
      </c>
      <c r="F89" s="37">
        <v>1</v>
      </c>
    </row>
    <row r="90" spans="2:6">
      <c r="B90" s="67"/>
    </row>
    <row r="91" spans="2:6">
      <c r="B91" s="16" t="s">
        <v>124</v>
      </c>
    </row>
    <row r="92" spans="2:6">
      <c r="B92" s="16" t="s">
        <v>28</v>
      </c>
      <c r="C92">
        <f>PRODUCT(C77:C89)</f>
        <v>153.10220265600003</v>
      </c>
      <c r="D92">
        <f>PRODUCT(D77:D89)</f>
        <v>177.29797364999999</v>
      </c>
      <c r="E92">
        <f>PRODUCT(E77:E89)</f>
        <v>334.34987039999999</v>
      </c>
      <c r="F92">
        <f>PRODUCT(F77:F89)</f>
        <v>405.06905039999998</v>
      </c>
    </row>
    <row r="93" spans="2:6">
      <c r="B93" s="16" t="s">
        <v>94</v>
      </c>
      <c r="C93">
        <v>30</v>
      </c>
      <c r="D93">
        <v>30</v>
      </c>
      <c r="E93">
        <v>30</v>
      </c>
      <c r="F93">
        <v>30</v>
      </c>
    </row>
    <row r="94" spans="2:6" ht="16" thickBot="1">
      <c r="B94" s="16" t="s">
        <v>121</v>
      </c>
      <c r="C94" s="131">
        <f>SUM(C92:C93)</f>
        <v>183.10220265600003</v>
      </c>
      <c r="D94" s="131">
        <f t="shared" ref="D94:F94" si="3">SUM(D92:D93)</f>
        <v>207.29797364999999</v>
      </c>
      <c r="E94" s="131">
        <f t="shared" si="3"/>
        <v>364.34987039999999</v>
      </c>
      <c r="F94" s="131">
        <f t="shared" si="3"/>
        <v>435.06905039999998</v>
      </c>
    </row>
    <row r="95" spans="2:6" ht="16" thickTop="1">
      <c r="B95" s="16" t="s">
        <v>131</v>
      </c>
      <c r="C95">
        <f>SUM(C94:F94)</f>
        <v>1189.8190971060001</v>
      </c>
    </row>
  </sheetData>
  <mergeCells count="7">
    <mergeCell ref="J27:M27"/>
    <mergeCell ref="N27:Q27"/>
    <mergeCell ref="R27:U27"/>
    <mergeCell ref="V27:Y27"/>
    <mergeCell ref="H20:H24"/>
    <mergeCell ref="H6:H8"/>
    <mergeCell ref="H13:H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G37"/>
  <sheetViews>
    <sheetView tabSelected="1" topLeftCell="A2" workbookViewId="0">
      <selection activeCell="J9" sqref="J9"/>
    </sheetView>
  </sheetViews>
  <sheetFormatPr baseColWidth="10" defaultColWidth="8.83203125" defaultRowHeight="15"/>
  <cols>
    <col min="2" max="2" width="25.5" bestFit="1" customWidth="1"/>
    <col min="3" max="3" width="13.5" bestFit="1" customWidth="1"/>
    <col min="4" max="4" width="10.83203125" customWidth="1"/>
    <col min="5" max="5" width="15.6640625" customWidth="1"/>
    <col min="7" max="7" width="15.33203125" customWidth="1"/>
  </cols>
  <sheetData>
    <row r="2" spans="2:7" ht="49.5" customHeight="1">
      <c r="B2" s="14" t="s">
        <v>59</v>
      </c>
      <c r="C2" s="8"/>
      <c r="D2" s="15" t="s">
        <v>60</v>
      </c>
      <c r="E2" s="15" t="s">
        <v>62</v>
      </c>
      <c r="F2" s="15" t="s">
        <v>61</v>
      </c>
      <c r="G2" s="15" t="s">
        <v>63</v>
      </c>
    </row>
    <row r="3" spans="2:7">
      <c r="B3" s="179" t="s">
        <v>16</v>
      </c>
      <c r="C3" s="3">
        <v>0</v>
      </c>
      <c r="D3" s="5">
        <v>8.0000000000000002E-3</v>
      </c>
      <c r="E3" s="2">
        <v>0.71299999999999997</v>
      </c>
      <c r="F3" s="2">
        <v>1.2350000000000001</v>
      </c>
      <c r="G3" s="2">
        <v>1.7570000000000001</v>
      </c>
    </row>
    <row r="4" spans="2:7">
      <c r="B4" s="179"/>
      <c r="C4" s="3">
        <v>1</v>
      </c>
      <c r="D4" s="5">
        <v>2.1000000000000001E-2</v>
      </c>
      <c r="E4" s="2">
        <v>0.64500000000000002</v>
      </c>
      <c r="F4" s="2">
        <v>1.0129999999999999</v>
      </c>
      <c r="G4" s="2">
        <v>1.3809999999999998</v>
      </c>
    </row>
    <row r="5" spans="2:7">
      <c r="B5" s="179"/>
      <c r="C5" s="3">
        <v>2</v>
      </c>
      <c r="D5" s="5">
        <v>2.5000000000000001E-2</v>
      </c>
      <c r="E5" s="2">
        <v>0.68300000000000005</v>
      </c>
      <c r="F5" s="2">
        <v>1.0209999999999999</v>
      </c>
      <c r="G5" s="2">
        <v>1.3589999999999998</v>
      </c>
    </row>
    <row r="6" spans="2:7">
      <c r="B6" s="179"/>
      <c r="C6" s="3" t="s">
        <v>15</v>
      </c>
      <c r="D6" s="5">
        <v>0.94599999999999995</v>
      </c>
      <c r="E6" s="2">
        <v>0.94299999999999995</v>
      </c>
      <c r="F6" s="2">
        <v>1</v>
      </c>
      <c r="G6" s="2">
        <v>1.0569999999999999</v>
      </c>
    </row>
    <row r="7" spans="2:7">
      <c r="C7" s="3"/>
      <c r="E7" s="2"/>
      <c r="F7" s="2"/>
      <c r="G7" s="2"/>
    </row>
    <row r="8" spans="2:7">
      <c r="B8" s="180" t="s">
        <v>17</v>
      </c>
      <c r="C8" s="7">
        <v>0</v>
      </c>
      <c r="D8" s="5">
        <v>0.82</v>
      </c>
      <c r="E8" s="2">
        <v>0.98899999999999999</v>
      </c>
      <c r="F8" s="2">
        <v>1</v>
      </c>
      <c r="G8" s="2">
        <v>1.0110000000000001</v>
      </c>
    </row>
    <row r="9" spans="2:7">
      <c r="B9" s="180"/>
      <c r="C9" s="3">
        <v>1</v>
      </c>
      <c r="D9" s="5">
        <v>0.104</v>
      </c>
      <c r="E9" s="2">
        <v>1.399</v>
      </c>
      <c r="F9" s="2">
        <v>1.423</v>
      </c>
      <c r="G9" s="2">
        <v>1.4470000000000001</v>
      </c>
    </row>
    <row r="10" spans="2:7">
      <c r="B10" s="180"/>
      <c r="C10" s="3">
        <v>2</v>
      </c>
      <c r="D10" s="5">
        <v>5.1999999999999998E-2</v>
      </c>
      <c r="E10" s="2">
        <v>1.107</v>
      </c>
      <c r="F10" s="2">
        <v>1.1599999999999999</v>
      </c>
      <c r="G10" s="2">
        <v>1.2129999999999999</v>
      </c>
    </row>
    <row r="11" spans="2:7">
      <c r="B11" s="180"/>
      <c r="C11" s="3" t="s">
        <v>15</v>
      </c>
      <c r="D11" s="5">
        <v>2.4E-2</v>
      </c>
      <c r="E11" s="2">
        <v>1.5649999999999999</v>
      </c>
      <c r="F11" s="2">
        <v>1.7849999999999999</v>
      </c>
      <c r="G11" s="2">
        <v>2.0049999999999999</v>
      </c>
    </row>
    <row r="12" spans="2:7">
      <c r="C12" s="3"/>
      <c r="E12" s="2"/>
      <c r="F12" s="2"/>
      <c r="G12" s="2"/>
    </row>
    <row r="13" spans="2:7">
      <c r="B13" s="180" t="s">
        <v>26</v>
      </c>
      <c r="C13" s="3" t="s">
        <v>31</v>
      </c>
      <c r="D13" s="5">
        <v>1.4E-2</v>
      </c>
      <c r="E13" s="2">
        <v>0.58799999999999997</v>
      </c>
      <c r="F13" s="2">
        <v>0.73099999999999998</v>
      </c>
      <c r="G13" s="2">
        <v>0.874</v>
      </c>
    </row>
    <row r="14" spans="2:7">
      <c r="B14" s="180"/>
      <c r="C14" s="3" t="s">
        <v>32</v>
      </c>
      <c r="D14" s="5">
        <v>6.8000000000000005E-2</v>
      </c>
      <c r="E14" s="2">
        <v>0.623</v>
      </c>
      <c r="F14" s="2">
        <v>0.73099999999999998</v>
      </c>
      <c r="G14" s="2">
        <v>0.83899999999999997</v>
      </c>
    </row>
    <row r="15" spans="2:7">
      <c r="B15" s="180"/>
      <c r="C15" s="3" t="s">
        <v>33</v>
      </c>
      <c r="D15" s="5">
        <v>0.14799999999999999</v>
      </c>
      <c r="E15" s="2">
        <v>0.82399999999999995</v>
      </c>
      <c r="F15" s="2">
        <v>0.88500000000000001</v>
      </c>
      <c r="G15" s="2">
        <v>0.94600000000000006</v>
      </c>
    </row>
    <row r="16" spans="2:7">
      <c r="B16" s="180"/>
      <c r="C16" s="3" t="s">
        <v>34</v>
      </c>
      <c r="D16" s="5">
        <v>0.34599999999999997</v>
      </c>
      <c r="E16" s="2">
        <v>0.97</v>
      </c>
      <c r="F16" s="2">
        <v>1</v>
      </c>
      <c r="G16" s="2">
        <v>1.03</v>
      </c>
    </row>
    <row r="17" spans="2:7">
      <c r="B17" s="180"/>
      <c r="C17" s="3" t="s">
        <v>35</v>
      </c>
      <c r="D17" s="5">
        <v>0.223</v>
      </c>
      <c r="E17" s="2">
        <v>1.1359999999999999</v>
      </c>
      <c r="F17" s="2">
        <v>1.1970000000000001</v>
      </c>
      <c r="G17" s="2">
        <v>1.2580000000000002</v>
      </c>
    </row>
    <row r="18" spans="2:7">
      <c r="B18" s="180"/>
      <c r="C18" s="3" t="s">
        <v>74</v>
      </c>
      <c r="D18" s="5">
        <v>0.20100000000000001</v>
      </c>
      <c r="E18" s="2">
        <v>1.27</v>
      </c>
      <c r="F18" s="2">
        <v>1.385</v>
      </c>
      <c r="G18" s="2">
        <v>1.5</v>
      </c>
    </row>
    <row r="19" spans="2:7">
      <c r="C19" s="3"/>
      <c r="E19" s="2"/>
      <c r="F19" s="2"/>
      <c r="G19" s="2"/>
    </row>
    <row r="20" spans="2:7">
      <c r="B20" s="181" t="s">
        <v>67</v>
      </c>
      <c r="C20" s="3" t="s">
        <v>64</v>
      </c>
      <c r="D20" s="6">
        <v>0.28000000000000003</v>
      </c>
      <c r="E20" s="2">
        <v>0.89</v>
      </c>
      <c r="F20" s="2">
        <v>0.96499999999999997</v>
      </c>
      <c r="G20" s="2">
        <v>1.04</v>
      </c>
    </row>
    <row r="21" spans="2:7">
      <c r="B21" s="181"/>
      <c r="C21" s="3" t="s">
        <v>65</v>
      </c>
      <c r="D21" s="6">
        <v>0.72</v>
      </c>
      <c r="E21" s="2">
        <v>0.99099999999999999</v>
      </c>
      <c r="F21" s="2">
        <v>1</v>
      </c>
      <c r="G21" s="2">
        <v>1.0089999999999999</v>
      </c>
    </row>
    <row r="22" spans="2:7">
      <c r="C22" s="3"/>
      <c r="E22" s="2"/>
      <c r="F22" s="2"/>
      <c r="G22" s="2"/>
    </row>
    <row r="23" spans="2:7">
      <c r="B23" s="179" t="s">
        <v>66</v>
      </c>
      <c r="C23" s="3">
        <v>0</v>
      </c>
      <c r="D23" s="5">
        <v>3.5000000000000003E-2</v>
      </c>
      <c r="E23" s="2">
        <v>0.873</v>
      </c>
      <c r="F23" s="2">
        <v>1</v>
      </c>
      <c r="G23" s="2">
        <v>1.127</v>
      </c>
    </row>
    <row r="24" spans="2:7">
      <c r="B24" s="179"/>
      <c r="C24" s="3">
        <v>1</v>
      </c>
      <c r="D24" s="5">
        <v>4.8000000000000001E-2</v>
      </c>
      <c r="E24" s="2">
        <v>0.88400000000000001</v>
      </c>
      <c r="F24" s="2">
        <v>0.995</v>
      </c>
      <c r="G24" s="2">
        <v>1.1059999999999999</v>
      </c>
    </row>
    <row r="25" spans="2:7">
      <c r="B25" s="179"/>
      <c r="C25" s="3">
        <v>2</v>
      </c>
      <c r="D25" s="5">
        <v>6.0999999999999999E-2</v>
      </c>
      <c r="E25" s="2">
        <v>0.89600000000000002</v>
      </c>
      <c r="F25" s="2">
        <v>0.98599999999999999</v>
      </c>
      <c r="G25" s="2">
        <v>1.0760000000000001</v>
      </c>
    </row>
    <row r="26" spans="2:7">
      <c r="B26" s="179"/>
      <c r="C26" s="3" t="s">
        <v>15</v>
      </c>
      <c r="D26" s="5">
        <f>1-SUM(D23:D25)</f>
        <v>0.85599999999999998</v>
      </c>
      <c r="E26" s="2">
        <v>0.95299999999999996</v>
      </c>
      <c r="F26" s="2">
        <v>0.97199999999999998</v>
      </c>
      <c r="G26" s="2">
        <v>0.99099999999999999</v>
      </c>
    </row>
    <row r="27" spans="2:7">
      <c r="C27" s="3"/>
      <c r="D27" s="5"/>
      <c r="E27" s="2"/>
      <c r="F27" s="2"/>
      <c r="G27" s="2"/>
    </row>
    <row r="28" spans="2:7">
      <c r="B28" s="179" t="s">
        <v>68</v>
      </c>
      <c r="C28" s="3" t="s">
        <v>64</v>
      </c>
      <c r="D28" s="5">
        <v>2.1000000000000001E-2</v>
      </c>
      <c r="E28" s="2">
        <v>0.54300000000000004</v>
      </c>
      <c r="F28" s="2">
        <v>0.99399999999999999</v>
      </c>
      <c r="G28" s="2">
        <v>1.4449999999999998</v>
      </c>
    </row>
    <row r="29" spans="2:7">
      <c r="B29" s="179"/>
      <c r="C29" s="3" t="s">
        <v>65</v>
      </c>
      <c r="D29" s="5">
        <v>0.97899999999999998</v>
      </c>
      <c r="E29" s="2">
        <v>0.97899999999999998</v>
      </c>
      <c r="F29" s="2">
        <v>1</v>
      </c>
      <c r="G29" s="2">
        <v>1.0209999999999999</v>
      </c>
    </row>
    <row r="30" spans="2:7">
      <c r="C30" s="3"/>
      <c r="D30" s="5"/>
      <c r="E30" s="2"/>
      <c r="F30" s="2"/>
      <c r="G30" s="2"/>
    </row>
    <row r="31" spans="2:7">
      <c r="B31" s="179" t="s">
        <v>72</v>
      </c>
      <c r="C31" s="3" t="s">
        <v>69</v>
      </c>
      <c r="D31" s="5">
        <v>0.79</v>
      </c>
      <c r="E31" s="2">
        <v>0.97199999999999998</v>
      </c>
      <c r="F31" s="2">
        <v>1</v>
      </c>
      <c r="G31" s="2">
        <v>1.028</v>
      </c>
    </row>
    <row r="32" spans="2:7">
      <c r="B32" s="179"/>
      <c r="C32" s="3" t="s">
        <v>75</v>
      </c>
      <c r="D32" s="5">
        <v>0.13100000000000001</v>
      </c>
      <c r="E32" s="2">
        <v>0.88400000000000001</v>
      </c>
      <c r="F32" s="2">
        <v>0.92300000000000004</v>
      </c>
      <c r="G32" s="2">
        <v>0.96200000000000008</v>
      </c>
    </row>
    <row r="33" spans="2:7">
      <c r="B33" s="179"/>
      <c r="C33" s="3" t="s">
        <v>70</v>
      </c>
      <c r="D33" s="5">
        <v>3.2000000000000001E-2</v>
      </c>
      <c r="E33" s="2">
        <v>1.0049999999999999</v>
      </c>
      <c r="F33" s="2">
        <v>1.1539999999999999</v>
      </c>
      <c r="G33" s="2">
        <v>1.3029999999999999</v>
      </c>
    </row>
    <row r="34" spans="2:7">
      <c r="B34" s="179"/>
      <c r="C34" s="3" t="s">
        <v>71</v>
      </c>
      <c r="D34" s="5">
        <v>4.6999999999999931E-2</v>
      </c>
      <c r="E34" s="2">
        <v>0.99199999999999999</v>
      </c>
      <c r="F34" s="2">
        <v>1.0860000000000001</v>
      </c>
      <c r="G34" s="2">
        <v>1.1800000000000002</v>
      </c>
    </row>
    <row r="37" spans="2:7">
      <c r="B37" t="s">
        <v>73</v>
      </c>
    </row>
  </sheetData>
  <mergeCells count="7">
    <mergeCell ref="B28:B29"/>
    <mergeCell ref="B31:B34"/>
    <mergeCell ref="B3:B6"/>
    <mergeCell ref="B8:B11"/>
    <mergeCell ref="B13:B18"/>
    <mergeCell ref="B20:B21"/>
    <mergeCell ref="B23:B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ADD7-8011-E94C-8C0A-FE8E9A7B552C}">
  <dimension ref="A5:AE55"/>
  <sheetViews>
    <sheetView workbookViewId="0">
      <selection activeCell="J58" sqref="J58"/>
    </sheetView>
  </sheetViews>
  <sheetFormatPr baseColWidth="10" defaultRowHeight="15"/>
  <cols>
    <col min="17" max="17" width="12.5" customWidth="1"/>
    <col min="19" max="19" width="13" customWidth="1"/>
    <col min="20" max="20" width="15.5" customWidth="1"/>
    <col min="21" max="21" width="13.83203125" customWidth="1"/>
  </cols>
  <sheetData>
    <row r="5" spans="3:31">
      <c r="C5">
        <v>168.1167734</v>
      </c>
      <c r="D5">
        <v>174.99054620000001</v>
      </c>
      <c r="E5">
        <v>324.5554679</v>
      </c>
      <c r="F5">
        <v>427.39453220000001</v>
      </c>
      <c r="H5">
        <v>242.33997840000001</v>
      </c>
      <c r="I5">
        <v>250.4424933</v>
      </c>
      <c r="J5">
        <v>310.83949269999999</v>
      </c>
      <c r="K5">
        <v>359.6469032</v>
      </c>
      <c r="M5">
        <v>177.00377979999999</v>
      </c>
      <c r="N5">
        <v>182.74007349999999</v>
      </c>
      <c r="O5">
        <v>306.35068369999999</v>
      </c>
      <c r="P5">
        <v>507.14819599999998</v>
      </c>
      <c r="R5">
        <v>207.570628</v>
      </c>
      <c r="S5">
        <v>216.2753673</v>
      </c>
      <c r="T5">
        <v>396.79325340000003</v>
      </c>
      <c r="U5">
        <v>545.42208749999998</v>
      </c>
      <c r="W5">
        <v>200.35637310000001</v>
      </c>
      <c r="X5">
        <v>206.92892119999999</v>
      </c>
      <c r="Y5">
        <v>260.7749374</v>
      </c>
      <c r="Z5">
        <v>291.31551200000001</v>
      </c>
      <c r="AB5">
        <v>218.8248657</v>
      </c>
      <c r="AC5">
        <v>226.08913559999999</v>
      </c>
      <c r="AD5">
        <v>374.27046009999998</v>
      </c>
      <c r="AE5">
        <v>648.28143699999998</v>
      </c>
    </row>
    <row r="6" spans="3:31">
      <c r="C6">
        <v>3431.5689200000002</v>
      </c>
      <c r="R6">
        <v>3792.9029780000001</v>
      </c>
    </row>
    <row r="11" spans="3:31">
      <c r="C11">
        <v>275.04224210000001</v>
      </c>
      <c r="D11">
        <v>272.3911635</v>
      </c>
      <c r="E11">
        <v>529.6008842</v>
      </c>
      <c r="F11">
        <v>1016.693279</v>
      </c>
      <c r="H11">
        <v>420.20254849999998</v>
      </c>
      <c r="I11">
        <v>428.81503950000001</v>
      </c>
      <c r="J11">
        <v>337.19617360000001</v>
      </c>
      <c r="K11">
        <v>546.32774019999999</v>
      </c>
      <c r="R11">
        <v>374.00592949999998</v>
      </c>
      <c r="S11">
        <v>370.28417630000001</v>
      </c>
      <c r="T11">
        <v>682.8150938</v>
      </c>
      <c r="U11">
        <v>1514.6319940000001</v>
      </c>
      <c r="W11">
        <v>319.7342281</v>
      </c>
      <c r="X11">
        <v>326.12919770000002</v>
      </c>
      <c r="Y11">
        <v>277.47624569999999</v>
      </c>
      <c r="Z11">
        <v>388.13267230000002</v>
      </c>
    </row>
    <row r="12" spans="3:31">
      <c r="C12">
        <v>3826.2690699999998</v>
      </c>
      <c r="R12">
        <v>4253.2095369999997</v>
      </c>
    </row>
    <row r="16" spans="3:31">
      <c r="C16">
        <v>183.10220269999999</v>
      </c>
      <c r="D16">
        <v>207.2979737</v>
      </c>
      <c r="E16">
        <v>364.34987039999999</v>
      </c>
      <c r="F16">
        <v>435.06905039999998</v>
      </c>
    </row>
    <row r="17" spans="1:21">
      <c r="C17">
        <v>1189.8190970000001</v>
      </c>
    </row>
    <row r="24" spans="1:21">
      <c r="C24" s="67" t="s">
        <v>132</v>
      </c>
      <c r="D24" s="67"/>
      <c r="E24" s="67"/>
      <c r="F24" s="67"/>
      <c r="G24" s="67" t="s">
        <v>133</v>
      </c>
      <c r="H24" s="67"/>
      <c r="I24" s="67"/>
      <c r="J24" s="67"/>
    </row>
    <row r="25" spans="1:21">
      <c r="C25" s="16" t="s">
        <v>0</v>
      </c>
      <c r="D25" s="16" t="s">
        <v>1</v>
      </c>
      <c r="E25" s="16" t="s">
        <v>2</v>
      </c>
      <c r="F25" s="16" t="s">
        <v>3</v>
      </c>
      <c r="G25" s="16" t="s">
        <v>0</v>
      </c>
      <c r="H25" s="16" t="s">
        <v>1</v>
      </c>
      <c r="I25" s="16" t="s">
        <v>2</v>
      </c>
      <c r="J25" s="16" t="s">
        <v>3</v>
      </c>
      <c r="M25" s="16" t="s">
        <v>136</v>
      </c>
      <c r="N25" s="16" t="s">
        <v>134</v>
      </c>
      <c r="O25" s="16"/>
      <c r="P25" s="16"/>
      <c r="Q25" s="16"/>
      <c r="R25" s="16"/>
      <c r="S25" s="16" t="s">
        <v>149</v>
      </c>
      <c r="T25" s="16" t="s">
        <v>144</v>
      </c>
      <c r="U25" t="s">
        <v>145</v>
      </c>
    </row>
    <row r="26" spans="1:21">
      <c r="A26" s="179" t="s">
        <v>123</v>
      </c>
      <c r="B26" t="s">
        <v>146</v>
      </c>
      <c r="C26" s="67">
        <v>168.1167734</v>
      </c>
      <c r="D26" s="67">
        <v>174.99054620000001</v>
      </c>
      <c r="E26" s="67">
        <v>324.5554679</v>
      </c>
      <c r="F26" s="67">
        <v>427.39453220000001</v>
      </c>
      <c r="G26" s="67">
        <v>207.570628</v>
      </c>
      <c r="H26" s="67">
        <v>216.2753673</v>
      </c>
      <c r="I26" s="67">
        <v>396.79325340000003</v>
      </c>
      <c r="J26" s="67">
        <v>545.42208749999998</v>
      </c>
      <c r="L26" t="s">
        <v>52</v>
      </c>
      <c r="M26" s="67">
        <v>168.1167734</v>
      </c>
      <c r="N26" s="67">
        <v>207.570628</v>
      </c>
      <c r="O26" s="67"/>
      <c r="P26" s="67">
        <f>AVERAGE($M$26:$M$31)</f>
        <v>244.30125414999998</v>
      </c>
      <c r="Q26" s="67">
        <f>AVERAGE($N$26:$N$31)</f>
        <v>250.59903784999997</v>
      </c>
      <c r="R26" s="67"/>
      <c r="S26" s="67" t="s">
        <v>0</v>
      </c>
      <c r="T26" s="133">
        <f>AVERAGE($M$26:$M$31)</f>
        <v>244.30125414999998</v>
      </c>
      <c r="U26" s="133">
        <f>AVERAGE($N$26:$N$31)</f>
        <v>250.59903784999997</v>
      </c>
    </row>
    <row r="27" spans="1:21">
      <c r="A27" s="179"/>
      <c r="B27" t="s">
        <v>147</v>
      </c>
      <c r="C27" s="67">
        <v>242.33997840000001</v>
      </c>
      <c r="D27" s="67">
        <v>250.4424933</v>
      </c>
      <c r="E27" s="67">
        <v>310.83949269999999</v>
      </c>
      <c r="F27" s="67">
        <v>359.6469032</v>
      </c>
      <c r="G27" s="67">
        <v>200.35637310000001</v>
      </c>
      <c r="H27" s="67">
        <v>206.92892119999999</v>
      </c>
      <c r="I27" s="67">
        <v>260.7749374</v>
      </c>
      <c r="J27" s="67">
        <v>291.31551200000001</v>
      </c>
      <c r="L27" t="s">
        <v>53</v>
      </c>
      <c r="M27" s="67">
        <v>242.33997840000001</v>
      </c>
      <c r="N27" s="67">
        <v>200.35637310000001</v>
      </c>
      <c r="O27" s="67"/>
      <c r="P27" s="67"/>
      <c r="Q27" s="67"/>
      <c r="R27" s="67"/>
      <c r="S27" s="67" t="s">
        <v>1</v>
      </c>
      <c r="T27" s="134">
        <f>AVERAGE($M$34:$M$39)</f>
        <v>252.77954828333336</v>
      </c>
      <c r="U27" s="134">
        <f>AVERAGE($N$34:$N$39)</f>
        <v>258.83412863333336</v>
      </c>
    </row>
    <row r="28" spans="1:21">
      <c r="A28" s="179"/>
      <c r="B28" t="s">
        <v>148</v>
      </c>
      <c r="C28" s="67">
        <v>177.00377979999999</v>
      </c>
      <c r="D28" s="67">
        <v>182.74007349999999</v>
      </c>
      <c r="E28" s="67">
        <v>306.35068369999999</v>
      </c>
      <c r="F28" s="67">
        <v>507.14819599999998</v>
      </c>
      <c r="G28" s="67">
        <v>218.8248657</v>
      </c>
      <c r="H28" s="67">
        <v>226.08913559999999</v>
      </c>
      <c r="I28" s="67">
        <v>374.27046009999998</v>
      </c>
      <c r="J28" s="67">
        <v>648.28143699999998</v>
      </c>
      <c r="L28" t="s">
        <v>57</v>
      </c>
      <c r="M28" s="67">
        <v>177.00377979999999</v>
      </c>
      <c r="N28" s="67">
        <v>218.8248657</v>
      </c>
      <c r="O28" s="67"/>
      <c r="P28" s="67"/>
      <c r="Q28" s="67"/>
      <c r="R28" s="67"/>
      <c r="S28" s="67" t="s">
        <v>2</v>
      </c>
      <c r="T28" s="134">
        <f>AVERAGE($M$42:$M$47)</f>
        <v>362.14876208333334</v>
      </c>
      <c r="U28" s="134">
        <f>AVERAGE($N$42:$N$47)</f>
        <v>392.74664346666668</v>
      </c>
    </row>
    <row r="29" spans="1:21">
      <c r="A29" s="179" t="s">
        <v>127</v>
      </c>
      <c r="B29" t="s">
        <v>146</v>
      </c>
      <c r="C29" s="67">
        <v>275.04224210000001</v>
      </c>
      <c r="D29" s="67">
        <v>272.3911635</v>
      </c>
      <c r="E29" s="67">
        <v>529.6008842</v>
      </c>
      <c r="F29" s="67">
        <v>1016.693279</v>
      </c>
      <c r="G29" s="67">
        <v>374.00592949999998</v>
      </c>
      <c r="H29" s="67">
        <v>370.28417630000001</v>
      </c>
      <c r="I29" s="67">
        <v>682.8150938</v>
      </c>
      <c r="J29" s="67">
        <v>1514.6319940000001</v>
      </c>
      <c r="L29" t="s">
        <v>118</v>
      </c>
      <c r="M29" s="67">
        <v>275.04224210000001</v>
      </c>
      <c r="N29" s="67">
        <v>374.00592949999998</v>
      </c>
      <c r="O29" s="67"/>
      <c r="P29" s="67"/>
      <c r="Q29" s="67"/>
      <c r="R29" s="67"/>
      <c r="S29" s="16" t="s">
        <v>3</v>
      </c>
      <c r="T29" s="134">
        <f>AVERAGE($M$50:$M$55)</f>
        <v>548.71328349999999</v>
      </c>
      <c r="U29" s="134">
        <f>AVERAGE($N$50:$N$55)</f>
        <v>637.14212553333334</v>
      </c>
    </row>
    <row r="30" spans="1:21">
      <c r="A30" s="179"/>
      <c r="B30" t="s">
        <v>147</v>
      </c>
      <c r="C30" s="67">
        <v>420.20254849999998</v>
      </c>
      <c r="D30" s="67">
        <v>428.81503950000001</v>
      </c>
      <c r="E30" s="67">
        <v>337.19617360000001</v>
      </c>
      <c r="F30" s="67">
        <v>546.32774019999999</v>
      </c>
      <c r="G30" s="67">
        <v>319.7342281</v>
      </c>
      <c r="H30" s="67">
        <v>326.12919770000002</v>
      </c>
      <c r="I30" s="67">
        <v>277.47624569999999</v>
      </c>
      <c r="J30" s="67">
        <v>388.13267230000002</v>
      </c>
      <c r="L30" t="s">
        <v>142</v>
      </c>
      <c r="M30" s="67">
        <v>420.20254849999998</v>
      </c>
      <c r="N30" s="67">
        <v>319.7342281</v>
      </c>
      <c r="O30" s="67"/>
      <c r="P30" s="67"/>
      <c r="Q30" s="67"/>
      <c r="R30" s="67"/>
      <c r="S30" s="16" t="s">
        <v>130</v>
      </c>
      <c r="T30" s="135">
        <f>SUM(T26:T29)</f>
        <v>1407.9428480166666</v>
      </c>
      <c r="U30" s="136">
        <f>SUM(U26:U29)</f>
        <v>1539.3219354833334</v>
      </c>
    </row>
    <row r="31" spans="1:21">
      <c r="A31" t="s">
        <v>129</v>
      </c>
      <c r="B31" t="s">
        <v>146</v>
      </c>
      <c r="C31" s="67">
        <v>183.10220269999999</v>
      </c>
      <c r="D31" s="67">
        <v>207.2979737</v>
      </c>
      <c r="E31" s="67">
        <v>364.34987039999999</v>
      </c>
      <c r="F31" s="67">
        <v>435.06905039999998</v>
      </c>
      <c r="G31" s="67">
        <v>183.10220269999999</v>
      </c>
      <c r="H31" s="67">
        <v>207.2979737</v>
      </c>
      <c r="I31" s="67">
        <v>364.34987039999999</v>
      </c>
      <c r="J31" s="67">
        <v>435.06905039999998</v>
      </c>
      <c r="L31" t="s">
        <v>143</v>
      </c>
      <c r="M31" s="67">
        <v>183.10220269999999</v>
      </c>
      <c r="N31" s="67">
        <v>183.10220269999999</v>
      </c>
      <c r="O31" s="67"/>
      <c r="P31" s="67"/>
      <c r="Q31" s="67"/>
      <c r="R31" s="67"/>
      <c r="S31" s="67"/>
      <c r="T31" s="67"/>
    </row>
    <row r="33" spans="12:17">
      <c r="M33" s="16" t="s">
        <v>137</v>
      </c>
      <c r="N33" s="16" t="s">
        <v>135</v>
      </c>
    </row>
    <row r="34" spans="12:17">
      <c r="L34" t="s">
        <v>52</v>
      </c>
      <c r="M34" s="67">
        <v>174.99054620000001</v>
      </c>
      <c r="N34" s="67">
        <v>216.2753673</v>
      </c>
      <c r="P34">
        <f>AVERAGE($M$34:$M$39)</f>
        <v>252.77954828333336</v>
      </c>
      <c r="Q34">
        <f>AVERAGE($N$34:$N$39)</f>
        <v>258.83412863333336</v>
      </c>
    </row>
    <row r="35" spans="12:17">
      <c r="L35" t="s">
        <v>53</v>
      </c>
      <c r="M35" s="67">
        <v>250.4424933</v>
      </c>
      <c r="N35" s="67">
        <v>206.92892119999999</v>
      </c>
    </row>
    <row r="36" spans="12:17">
      <c r="L36" t="s">
        <v>57</v>
      </c>
      <c r="M36" s="67">
        <v>182.74007349999999</v>
      </c>
      <c r="N36" s="67">
        <v>226.08913559999999</v>
      </c>
    </row>
    <row r="37" spans="12:17">
      <c r="L37" t="s">
        <v>118</v>
      </c>
      <c r="M37" s="67">
        <v>272.3911635</v>
      </c>
      <c r="N37" s="67">
        <v>370.28417630000001</v>
      </c>
    </row>
    <row r="38" spans="12:17">
      <c r="L38" t="s">
        <v>142</v>
      </c>
      <c r="M38" s="67">
        <v>428.81503950000001</v>
      </c>
      <c r="N38" s="67">
        <v>326.12919770000002</v>
      </c>
    </row>
    <row r="39" spans="12:17">
      <c r="L39" t="s">
        <v>143</v>
      </c>
      <c r="M39" s="67">
        <v>207.2979737</v>
      </c>
      <c r="N39" s="67">
        <v>207.2979737</v>
      </c>
    </row>
    <row r="41" spans="12:17">
      <c r="M41" s="16" t="s">
        <v>138</v>
      </c>
      <c r="N41" s="16" t="s">
        <v>139</v>
      </c>
    </row>
    <row r="42" spans="12:17">
      <c r="L42" t="s">
        <v>52</v>
      </c>
      <c r="M42" s="67">
        <v>324.5554679</v>
      </c>
      <c r="N42" s="67">
        <v>396.79325340000003</v>
      </c>
      <c r="P42">
        <f>AVERAGE($M$42:$M$47)</f>
        <v>362.14876208333334</v>
      </c>
      <c r="Q42">
        <f>AVERAGE($N$42:$N$47)</f>
        <v>392.74664346666668</v>
      </c>
    </row>
    <row r="43" spans="12:17">
      <c r="L43" t="s">
        <v>53</v>
      </c>
      <c r="M43" s="67">
        <v>310.83949269999999</v>
      </c>
      <c r="N43" s="67">
        <v>260.7749374</v>
      </c>
    </row>
    <row r="44" spans="12:17">
      <c r="L44" t="s">
        <v>57</v>
      </c>
      <c r="M44" s="67">
        <v>306.35068369999999</v>
      </c>
      <c r="N44" s="67">
        <v>374.27046009999998</v>
      </c>
    </row>
    <row r="45" spans="12:17">
      <c r="L45" t="s">
        <v>118</v>
      </c>
      <c r="M45" s="67">
        <v>529.6008842</v>
      </c>
      <c r="N45" s="67">
        <v>682.8150938</v>
      </c>
    </row>
    <row r="46" spans="12:17">
      <c r="L46" t="s">
        <v>142</v>
      </c>
      <c r="M46" s="67">
        <v>337.19617360000001</v>
      </c>
      <c r="N46" s="67">
        <v>277.47624569999999</v>
      </c>
    </row>
    <row r="47" spans="12:17">
      <c r="L47" t="s">
        <v>143</v>
      </c>
      <c r="M47" s="67">
        <v>364.34987039999999</v>
      </c>
      <c r="N47" s="67">
        <v>364.34987039999999</v>
      </c>
    </row>
    <row r="49" spans="12:17">
      <c r="M49" s="16" t="s">
        <v>140</v>
      </c>
      <c r="N49" s="16" t="s">
        <v>141</v>
      </c>
    </row>
    <row r="50" spans="12:17">
      <c r="L50" t="s">
        <v>52</v>
      </c>
      <c r="M50" s="67">
        <v>427.39453220000001</v>
      </c>
      <c r="N50" s="67">
        <v>545.42208749999998</v>
      </c>
      <c r="P50">
        <f>AVERAGE($M$50:$M$55)</f>
        <v>548.71328349999999</v>
      </c>
      <c r="Q50">
        <f>AVERAGE($N$50:$N$55)</f>
        <v>637.14212553333334</v>
      </c>
    </row>
    <row r="51" spans="12:17">
      <c r="L51" t="s">
        <v>53</v>
      </c>
      <c r="M51" s="67">
        <v>359.6469032</v>
      </c>
      <c r="N51" s="67">
        <v>291.31551200000001</v>
      </c>
    </row>
    <row r="52" spans="12:17">
      <c r="L52" t="s">
        <v>57</v>
      </c>
      <c r="M52" s="67">
        <v>507.14819599999998</v>
      </c>
      <c r="N52" s="67">
        <v>648.28143699999998</v>
      </c>
    </row>
    <row r="53" spans="12:17">
      <c r="L53" t="s">
        <v>118</v>
      </c>
      <c r="M53" s="67">
        <v>1016.693279</v>
      </c>
      <c r="N53" s="67">
        <v>1514.6319940000001</v>
      </c>
    </row>
    <row r="54" spans="12:17">
      <c r="L54" t="s">
        <v>142</v>
      </c>
      <c r="M54" s="67">
        <v>546.32774019999999</v>
      </c>
      <c r="N54" s="67">
        <v>388.13267230000002</v>
      </c>
    </row>
    <row r="55" spans="12:17">
      <c r="L55" t="s">
        <v>143</v>
      </c>
      <c r="M55" s="67">
        <v>435.06905039999998</v>
      </c>
      <c r="N55" s="67">
        <v>435.06905039999998</v>
      </c>
    </row>
  </sheetData>
  <mergeCells count="2">
    <mergeCell ref="A26:A28"/>
    <mergeCell ref="A29:A30"/>
  </mergeCells>
  <pageMargins left="0.7" right="0.7" top="0.75" bottom="0.75" header="0.3" footer="0.3"/>
  <pageSetup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hZDU3ZDYxOC03ZWI5LTQ4MzYtOTY1OS05MmUxYzk3ZDViMmIiIG9yaWdpbj0iZGVmYXVsdFZhbHVlIj48ZWxlbWVudCB1aWQ9IjI3Y2QxY2E5LWJkZTQtNDY4Ni05NTc5LTk4ODllMGYwMGJlNSIgdmFsdWU9IiIgeG1sbnM9Imh0dHA6Ly93d3cuYm9sZG9uamFtZXMuY29tLzIwMDgvMDEvc2llL2ludGVybmFsL2xhYmVsIiAvPjwvc2lzbD48VXNlck5hbWU+RU5UXGdraHlzaGU8L1VzZXJOYW1lPjxEYXRlVGltZT4xMS8zMC8yMDE4IDExOjI4OjIzIFBNPC9EYXRlVGltZT48TGFiZWxTdHJpbmc+SW50ZXJuYWw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ad57d618-7eb9-4836-9659-92e1c97d5b2b" origin="defaultValue">
  <element uid="27cd1ca9-bde4-4686-9579-9889e0f00be5" value=""/>
</sisl>
</file>

<file path=customXml/itemProps1.xml><?xml version="1.0" encoding="utf-8"?>
<ds:datastoreItem xmlns:ds="http://schemas.openxmlformats.org/officeDocument/2006/customXml" ds:itemID="{DC30450C-12AB-498F-A873-EE9CA6B8A416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02F05A46-114F-4F98-90AF-6AA22D925D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Rating Steps</vt:lpstr>
      <vt:lpstr>Driver Age Factor</vt:lpstr>
      <vt:lpstr>Profile</vt:lpstr>
      <vt:lpstr>Factor Tables</vt:lpstr>
      <vt:lpstr>Rater1</vt:lpstr>
      <vt:lpstr>Rater2</vt:lpstr>
      <vt:lpstr>Model Output</vt:lpstr>
      <vt:lpstr>Sheet2</vt:lpstr>
    </vt:vector>
  </TitlesOfParts>
  <Company>CSAA 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Shen, Annie</dc:creator>
  <cp:keywords>Internal</cp:keywords>
  <cp:lastModifiedBy>trujillo.jonathan.e@gmail.com</cp:lastModifiedBy>
  <dcterms:created xsi:type="dcterms:W3CDTF">2018-11-29T18:01:22Z</dcterms:created>
  <dcterms:modified xsi:type="dcterms:W3CDTF">2019-01-17T19:09:22Z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docIndexRef">
    <vt:lpwstr>1d311a22-0fe7-4147-bd8f-a1b12ff27eaa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policy="ad57d618-7eb9-4836-9659-92e1c97d5b2b" origin="defaultValue" xmlns="http://www.boldonj</vt:lpwstr>
  </property>
  <property fmtid="{D5CDD505-2E9C-101B-9397-08002B2CF9AE}" pid="6" name="bjDocumentLabelXML-0">
    <vt:lpwstr>ames.com/2008/01/sie/internal/label"&gt;&lt;element uid="27cd1ca9-bde4-4686-9579-9889e0f00be5" value="" /&gt;&lt;/sisl&gt;</vt:lpwstr>
  </property>
  <property fmtid="{D5CDD505-2E9C-101B-9397-08002B2CF9AE}" pid="7" name="bjDocumentSecurityLabel">
    <vt:lpwstr>Internal</vt:lpwstr>
  </property>
  <property fmtid="{D5CDD505-2E9C-101B-9397-08002B2CF9AE}" pid="8" name="Classification">
    <vt:lpwstr>[xyzInternalx]</vt:lpwstr>
  </property>
  <property fmtid="{D5CDD505-2E9C-101B-9397-08002B2CF9AE}" pid="9" name="bjSaver">
    <vt:lpwstr>2i535As9nvdHAYf0g5FHzSn+Sm4ayyLM</vt:lpwstr>
  </property>
  <property fmtid="{D5CDD505-2E9C-101B-9397-08002B2CF9AE}" pid="10" name="bjLabelHistoryID">
    <vt:lpwstr>{DC30450C-12AB-498F-A873-EE9CA6B8A416}</vt:lpwstr>
  </property>
  <property fmtid="{D5CDD505-2E9C-101B-9397-08002B2CF9AE}" pid="11" name="{A44787D4-0540-4523-9961-78E4036D8C6D}">
    <vt:lpwstr>{9E482F75-E816-4024-B68E-0F022DD3A30D}</vt:lpwstr>
  </property>
</Properties>
</file>